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Assumptions" sheetId="2" state="visible" r:id="rId4"/>
    <sheet name="Franchise" sheetId="3" state="visible" r:id="rId5"/>
    <sheet name="WhiteLabel" sheetId="4" state="visible" r:id="rId6"/>
    <sheet name="Costs" sheetId="5" state="visible" r:id="rId7"/>
    <sheet name="P&amp;L" sheetId="6" state="visible" r:id="rId8"/>
    <sheet name="Sensitivity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<sst xmlns="http://schemas.openxmlformats.org/spreadsheetml/2006/main" count="165" uniqueCount="143">
  <si>
    <t xml:space="preserve">Dproperty OS — Financial Model v0.5</t>
  </si>
  <si>
    <t xml:space="preserve">STATUS: STRUCTURED DRAFT. Numbers are NOT pitch-ready until yellow assumptions are validated.</t>
  </si>
  <si>
    <t xml:space="preserve">Built 2026-07-02 under the collected-GCI royalty decision (Decision Log 2026-07-02).</t>
  </si>
  <si>
    <t xml:space="preserve">COLOR LEGEND</t>
  </si>
  <si>
    <t xml:space="preserve">Blue text = hardcoded input you can change. Yellow fill = unvalidated assumption or placeholder.</t>
  </si>
  <si>
    <t xml:space="preserve">Black text = formula. Green text = link to another sheet in this workbook.</t>
  </si>
  <si>
    <t xml:space="preserve">CRITICAL VALIDATIONS BEFORE PITCH</t>
  </si>
  <si>
    <t xml:space="preserve">1. Commission rate 5% local vs 0.75% deferred advisory (Assumptions B13). Owner: Fernando/Ernesto. See Sensitivity sheet.</t>
  </si>
  <si>
    <t xml:space="preserve">2. Sales mix 70/30 and year-1 ramp 45% (Assumptions B15, B16). Owner: Esteban/Luz Adriana.</t>
  </si>
  <si>
    <t xml:space="preserve">3. Deferred collection lag 2 years (Assumptions B19). Mirror of documented 18-30 month pattern.</t>
  </si>
  <si>
    <t xml:space="preserve">4. Miguel salary placeholder EUR 3,000/mo (Assumptions B39). TBD per 2026-07-02 session.</t>
  </si>
  <si>
    <t xml:space="preserve">5. Developer revenue per active project (Assumptions B35). Largest single lever in the model.</t>
  </si>
  <si>
    <t xml:space="preserve">6. CS cost per client and GHL margin per account (Assumptions B44, B33).</t>
  </si>
  <si>
    <t xml:space="preserve">STRUCTURE</t>
  </si>
  <si>
    <t xml:space="preserve">Assumptions -&gt; Franchise / WhiteLabel / Costs -&gt; P&amp;L -&gt; Sensitivity. All flows are formulas.</t>
  </si>
  <si>
    <t xml:space="preserve">Deferred royalties and Private Collection revenue collect with a lag (OFFSET logic, guarded for early years).</t>
  </si>
  <si>
    <t xml:space="preserve">Royalty floor is modeled as a top-up: MAX(0, entitlement - collected % royalties). At target volume it does not bind.</t>
  </si>
  <si>
    <t xml:space="preserve">Source of truth: this file. The note 07_Finance/Financial Model Summary.md documents logic only.</t>
  </si>
  <si>
    <t xml:space="preserve">Assumptions — Dproperty OS v0.5</t>
  </si>
  <si>
    <t xml:space="preserve">Yellow = unvalidated assumption/placeholder. Blue = input.</t>
  </si>
  <si>
    <t xml:space="preserve">EUR/USD rate</t>
  </si>
  <si>
    <t xml:space="preserve">Placeholder convention per Compensation Model v0.5</t>
  </si>
  <si>
    <t xml:space="preserve">ROLLOUT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</si>
  <si>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</si>
  <si>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</si>
  <si>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</si>
  <si>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</si>
  <si>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</si>
  <si>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New branded franchises</t>
  </si>
  <si>
    <t xml:space="preserve">Conservative: 5 cumulative by Y5 per Decision Log</t>
  </si>
  <si>
    <t xml:space="preserve">New white-label clients</t>
  </si>
  <si>
    <t xml:space="preserve">Cumulative 20 by Y5 per Decision Log</t>
  </si>
  <si>
    <t xml:space="preserve">Active developer projects (cumulative)</t>
  </si>
  <si>
    <t xml:space="preserve">ASSUMPTION: ramp shape not in baseline docs</t>
  </si>
  <si>
    <t xml:space="preserve">FRANCHISE ECONOMICS</t>
  </si>
  <si>
    <t xml:space="preserve">Commission rate — local sales</t>
  </si>
  <si>
    <t xml:space="preserve">VALIDATE vs 0.75% deferred advisory rate. Owner: Fernando/Ernesto. See Sensitivity</t>
  </si>
  <si>
    <t xml:space="preserve">Avg unit price ($)</t>
  </si>
  <si>
    <t xml:space="preserve">Steady-state units per franchise/yr</t>
  </si>
  <si>
    <t xml:space="preserve">Year-1 ramp (% of steady state)</t>
  </si>
  <si>
    <t xml:space="preserve">ASSUMPTION 2026-07-02 session</t>
  </si>
  <si>
    <t xml:space="preserve">Local (fast-collect) sales mix</t>
  </si>
  <si>
    <t xml:space="preserve">ASSUMPTION: playbook target, confirm</t>
  </si>
  <si>
    <t xml:space="preserve">Royalty rate (collected GCI)</t>
  </si>
  <si>
    <t xml:space="preserve">Network fee rate (collected GCI)</t>
  </si>
  <si>
    <t xml:space="preserve">Deferred collection lag (years)</t>
  </si>
  <si>
    <t xml:space="preserve">Mirror of 18-30 month documented pattern</t>
  </si>
  <si>
    <t xml:space="preserve">Royalty floor ($/month, from month 7)</t>
  </si>
  <si>
    <t xml:space="preserve">PLACEHOLDER per Decision 2026-07-02, creditable</t>
  </si>
  <si>
    <t xml:space="preserve">Launch fee ($)</t>
  </si>
  <si>
    <t xml:space="preserve">OS fee ($/month)</t>
  </si>
  <si>
    <t xml:space="preserve">PC deals per franchise/yr</t>
  </si>
  <si>
    <t xml:space="preserve">ASSUMPTION: Private Collection origination per franchise</t>
  </si>
  <si>
    <t xml:space="preserve">PC reduced royalty on franchise half</t>
  </si>
  <si>
    <t xml:space="preserve">PC reduced network fee on franchise half</t>
  </si>
  <si>
    <t xml:space="preserve">WHITE-LABEL</t>
  </si>
  <si>
    <t xml:space="preserve">Starter share of clients</t>
  </si>
  <si>
    <t xml:space="preserve">Starter setup ($)</t>
  </si>
  <si>
    <t xml:space="preserve">Starter monthly ($)</t>
  </si>
  <si>
    <t xml:space="preserve">Growth setup ($)</t>
  </si>
  <si>
    <t xml:space="preserve">Growth monthly ($)</t>
  </si>
  <si>
    <t xml:space="preserve">OTHER REVENUE</t>
  </si>
  <si>
    <t xml:space="preserve">GHL margin per account ($/mo)</t>
  </si>
  <si>
    <t xml:space="preserve">PLACEHOLDER $100-300 range per White-Label Economics patch</t>
  </si>
  <si>
    <t xml:space="preserve">Avg annual HQ revenue per active developer project ($)</t>
  </si>
  <si>
    <t xml:space="preserve">BIG LEVER. Scenarios in Developer Sales OS Economics range $75k-$375k/project lifetime</t>
  </si>
  <si>
    <t xml:space="preserve">COSTS</t>
  </si>
  <si>
    <t xml:space="preserve">Esteban salary Y1 (EUR/mo)</t>
  </si>
  <si>
    <t xml:space="preserve">Decision 2026-07-02</t>
  </si>
  <si>
    <t xml:space="preserve">Esteban salary Y2+ (EUR/mo, step at Tranche 2)</t>
  </si>
  <si>
    <t xml:space="preserve">Miguel salary (EUR/mo) — TBD</t>
  </si>
  <si>
    <t xml:space="preserve">PLACEHOLDER. Amount not decided; do NOT leave zero</t>
  </si>
  <si>
    <t xml:space="preserve">Product build Y1 / Y2 / Y3+ ($/yr)</t>
  </si>
  <si>
    <t xml:space="preserve">Legal Y1 / Y2 / Y3+ ($/yr)</t>
  </si>
  <si>
    <t xml:space="preserve">Training &amp; content Y1 / Y2 / Y3+ ($/yr)</t>
  </si>
  <si>
    <t xml:space="preserve">Customer success base from Y2 ($/yr)</t>
  </si>
  <si>
    <t xml:space="preserve">CS variable per active client ($/yr)</t>
  </si>
  <si>
    <t xml:space="preserve">HQ support cost per franchise/WL client — Blunt Skeptic flag, unvalidated</t>
  </si>
  <si>
    <t xml:space="preserve">Sales/BD/travel Y1-2 / Y3+ ($/yr)</t>
  </si>
  <si>
    <t xml:space="preserve">Tools/hosting/admin ($/yr)</t>
  </si>
  <si>
    <t xml:space="preserve">Contingency (% of costs)</t>
  </si>
  <si>
    <t xml:space="preserve">Franchise System Revenue (collected basis)</t>
  </si>
  <si>
    <t xml:space="preserve">year index</t>
  </si>
  <si>
    <t xml:space="preserve">New franchises</t>
  </si>
  <si>
    <t xml:space="preserve">Cumulative franchises</t>
  </si>
  <si>
    <t xml:space="preserve">Units sold (all franchises)</t>
  </si>
  <si>
    <t xml:space="preserve">Local units (fast-collect)</t>
  </si>
  <si>
    <t xml:space="preserve">Deferred units (signed)</t>
  </si>
  <si>
    <t xml:space="preserve">Local GCI ($)</t>
  </si>
  <si>
    <t xml:space="preserve">Deferred GCI signed ($)</t>
  </si>
  <si>
    <t xml:space="preserve">Royalty+network on local, collected in-year</t>
  </si>
  <si>
    <t xml:space="preserve">Royalty+network on deferred, collected (lagged)</t>
  </si>
  <si>
    <t xml:space="preserve">Floor entitlement ($)</t>
  </si>
  <si>
    <t xml:space="preserve">Floor top-up revenue</t>
  </si>
  <si>
    <t xml:space="preserve">Launch fees</t>
  </si>
  <si>
    <t xml:space="preserve">OS fees (new pay 6 mo in launch year)</t>
  </si>
  <si>
    <t xml:space="preserve">PC deals signed</t>
  </si>
  <si>
    <t xml:space="preserve">PC HQ revenue signed ($)</t>
  </si>
  <si>
    <t xml:space="preserve">PC HQ revenue collected (lagged)</t>
  </si>
  <si>
    <t xml:space="preserve">FRANCHISE LINE TOTAL</t>
  </si>
  <si>
    <t xml:space="preserve">White-Label + GHL Margin</t>
  </si>
  <si>
    <t xml:space="preserve">Cumulative clients</t>
  </si>
  <si>
    <t xml:space="preserve">Setup revenue</t>
  </si>
  <si>
    <t xml:space="preserve">Recurring revenue (new pay 6 mo)</t>
  </si>
  <si>
    <t xml:space="preserve">WHITE-LABEL TOTAL</t>
  </si>
  <si>
    <t xml:space="preserve">GHL accounts (franchise + WL, cumulative)</t>
  </si>
  <si>
    <t xml:space="preserve">GHL MARGIN</t>
  </si>
  <si>
    <t xml:space="preserve">Operating Costs ($)</t>
  </si>
  <si>
    <t xml:space="preserve">Esteban salary</t>
  </si>
  <si>
    <t xml:space="preserve">Miguel salary (PLACEHOLDER TBD)</t>
  </si>
  <si>
    <t xml:space="preserve">Product build/maintenance</t>
  </si>
  <si>
    <t xml:space="preserve">Legal</t>
  </si>
  <si>
    <t xml:space="preserve">Training &amp; content</t>
  </si>
  <si>
    <t xml:space="preserve">Customer success (base + per client)</t>
  </si>
  <si>
    <t xml:space="preserve">Sales/BD/travel</t>
  </si>
  <si>
    <t xml:space="preserve">Tools/hosting/admin</t>
  </si>
  <si>
    <t xml:space="preserve">Subtotal</t>
  </si>
  <si>
    <t xml:space="preserve">Contingency</t>
  </si>
  <si>
    <t xml:space="preserve">TOTAL COSTS</t>
  </si>
  <si>
    <t xml:space="preserve">P&amp;L — Conservative Case, Collected-GCI Basis, v0.5</t>
  </si>
  <si>
    <t xml:space="preserve">Franchise system revenue</t>
  </si>
  <si>
    <t xml:space="preserve">White-label revenue</t>
  </si>
  <si>
    <t xml:space="preserve">GHL margin</t>
  </si>
  <si>
    <t xml:space="preserve">Developer Sales OS revenue</t>
  </si>
  <si>
    <t xml:space="preserve">TOTAL REVENUE</t>
  </si>
  <si>
    <t xml:space="preserve">Total operating costs</t>
  </si>
  <si>
    <t xml:space="preserve">EBITDA</t>
  </si>
  <si>
    <t xml:space="preserve">EBITDA margin</t>
  </si>
  <si>
    <t xml:space="preserve">Cumulative EBITDA (funding-need proxy)</t>
  </si>
  <si>
    <t xml:space="preserve">MEMO: 24-month cost base (Y1+Y2)</t>
  </si>
  <si>
    <t xml:space="preserve">MEMO: implied funding need (–cum EBITDA Y2)</t>
  </si>
  <si>
    <t xml:space="preserve">MEMO: approved budget frame</t>
  </si>
  <si>
    <t xml:space="preserve">MEMO: budget gap (need – frame; positive = short)</t>
  </si>
  <si>
    <t xml:space="preserve">Commission-Rate Sensitivity (Year 5)</t>
  </si>
  <si>
    <t xml:space="preserve">Rate-dependent franchise revenue Y5 (royalties + PC, excl. fees/floor)</t>
  </si>
  <si>
    <t xml:space="preserve">Scenario</t>
  </si>
  <si>
    <t xml:space="preserve">Commission rate</t>
  </si>
  <si>
    <t xml:space="preserve">Y5 total revenue</t>
  </si>
  <si>
    <t xml:space="preserve">Y5 EBITDA</t>
  </si>
  <si>
    <t xml:space="preserve">Brokerage rate (base)</t>
  </si>
  <si>
    <t xml:space="preserve">Mid market rate</t>
  </si>
  <si>
    <t xml:space="preserve">Documented advisory rate</t>
  </si>
  <si>
    <t xml:space="preserve">Note: floor top-up would partially offset low-rate scenarios (not modeled here). If 0.75% is the true franchise-sale rate, the branded franchise royalty line is not viable and the model must be rebuilt around fees + floors + PC. This is validation item #1.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</si>
</sst>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0"/>
    <numFmt numFmtId="166" formatCode="#,##0;\(#,##0\);\-"/>
    <numFmt numFmtId="167" formatCode="0.0%;\(0.0%\);\-"/>
    <numFmt numFmtId="168" formatCode="\$#,##0;&quot;($&quot;#,##0\);\-"/>
    <numFmt numFmtId="169" formatCode="#,##0.0;\(#,##0.0\);\-"/>
    <numFmt numFmtId="170" formatCode="0.0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9"/>
      <name val="Arial"/>
      <family val="0"/>
      <charset val="1"/>
    </font>
    <font>
      <sz val="8"/>
      <color rgb="FF808080"/>
      <name val="Arial"/>
      <family val="0"/>
      <charset val="1"/>
    </font>
    <font>
      <sz val="11"/>
      <color rgb="FF00800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D9D9"/>
        <bgColor rgb="FFC0C0C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/>
    </row>
    <row r="6" customFormat="false" ht="15" hidden="false" customHeight="false" outlineLevel="0" collapsed="false">
      <c r="A6" s="3" t="s">
        <v>3</v>
      </c>
    </row>
    <row r="7" customFormat="false" ht="15" hidden="false" customHeight="false" outlineLevel="0" collapsed="false">
      <c r="A7" s="2" t="s">
        <v>4</v>
      </c>
    </row>
    <row r="8" customFormat="false" ht="15" hidden="false" customHeight="false" outlineLevel="0" collapsed="false">
      <c r="A8" s="2" t="s">
        <v>5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3" t="s">
        <v>6</v>
      </c>
    </row>
    <row r="11" customFormat="false" ht="15" hidden="false" customHeight="false" outlineLevel="0" collapsed="false">
      <c r="A11" s="2" t="s">
        <v>7</v>
      </c>
    </row>
    <row r="12" customFormat="false" ht="15" hidden="false" customHeight="false" outlineLevel="0" collapsed="false">
      <c r="A12" s="2" t="s">
        <v>8</v>
      </c>
    </row>
    <row r="13" customFormat="false" ht="15" hidden="false" customHeight="false" outlineLevel="0" collapsed="false">
      <c r="A13" s="2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/>
    </row>
    <row r="18" customFormat="false" ht="15" hidden="false" customHeight="false" outlineLevel="0" collapsed="false">
      <c r="A18" s="3" t="s">
        <v>13</v>
      </c>
    </row>
    <row r="19" customFormat="false" ht="15" hidden="false" customHeight="false" outlineLevel="0" collapsed="false">
      <c r="A19" s="2" t="s">
        <v>14</v>
      </c>
    </row>
    <row r="20" customFormat="false" ht="15" hidden="false" customHeight="false" outlineLevel="0" collapsed="false">
      <c r="A20" s="2" t="s">
        <v>15</v>
      </c>
    </row>
    <row r="21" customFormat="false" ht="15" hidden="false" customHeight="false" outlineLevel="0" collapsed="false">
      <c r="A21" s="2" t="s">
        <v>16</v>
      </c>
    </row>
    <row r="22" customFormat="false" ht="15" hidden="false" customHeight="false" outlineLevel="0" collapsed="false">
      <c r="A22" s="2"/>
    </row>
    <row r="23" customFormat="false" ht="15" hidden="false" customHeight="false" outlineLevel="0" collapsed="false">
      <c r="A23" s="2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6" min="2" style="0" width="13"/>
    <col collapsed="false" customWidth="true" hidden="false" outlineLevel="0" max="7" min="7" style="0" width="60"/>
  </cols>
  <sheetData>
    <row r="1" customFormat="false" ht="17.35" hidden="false" customHeight="false" outlineLevel="0" collapsed="false">
      <c r="A1" s="1" t="s">
        <v>18</v>
      </c>
    </row>
    <row r="3" customFormat="false" ht="15" hidden="false" customHeight="false" outlineLevel="0" collapsed="false">
      <c r="A3" s="4" t="s">
        <v>19</v>
      </c>
    </row>
    <row r="5" customFormat="false" ht="15" hidden="false" customHeight="false" outlineLevel="0" collapsed="false">
      <c r="A5" s="2" t="s">
        <v>20</v>
      </c>
      <c r="B5" s="5" t="n">
        <v>1.1</v>
      </c>
      <c r="G5" s="6" t="s">
        <v>21</v>
      </c>
    </row>
    <row r="7" customFormat="false" ht="15" hidden="false" customHeight="false" outlineLevel="0" collapsed="false">
      <c r="A7" s="3" t="s">
        <v>22</v>
      </c>
      <c r="B7" s="3" t="s">
        <v>23</v>
      </c>
      <c r="C7" s="3" t="s">
        <v>24</v>
      </c>
      <c r="D7" s="3" t="s">
        <v>25</v>
      </c>
      <c r="E7" s="3" t="s">
        <v>26</v>
      </c>
      <c r="F7" s="3" t="s">
        <v>27</v>
      </c>
    </row>
    <row r="8" customFormat="false" ht="15" hidden="false" customHeight="false" outlineLevel="0" collapsed="false">
      <c r="A8" s="2" t="s">
        <v>28</v>
      </c>
      <c r="B8" s="7" t="n">
        <v>1</v>
      </c>
      <c r="C8" s="7" t="n">
        <v>1</v>
      </c>
      <c r="D8" s="7" t="n">
        <v>1</v>
      </c>
      <c r="E8" s="7" t="n">
        <v>1</v>
      </c>
      <c r="F8" s="7" t="n">
        <v>1</v>
      </c>
      <c r="G8" s="6" t="s">
        <v>29</v>
      </c>
    </row>
    <row r="9" customFormat="false" ht="15" hidden="false" customHeight="false" outlineLevel="0" collapsed="false">
      <c r="A9" s="2" t="s">
        <v>30</v>
      </c>
      <c r="B9" s="7" t="n">
        <v>2</v>
      </c>
      <c r="C9" s="7" t="n">
        <v>4</v>
      </c>
      <c r="D9" s="7" t="n">
        <v>5</v>
      </c>
      <c r="E9" s="7" t="n">
        <v>5</v>
      </c>
      <c r="F9" s="7" t="n">
        <v>4</v>
      </c>
      <c r="G9" s="6" t="s">
        <v>31</v>
      </c>
    </row>
    <row r="10" customFormat="false" ht="15" hidden="false" customHeight="false" outlineLevel="0" collapsed="false">
      <c r="A10" s="2" t="s">
        <v>32</v>
      </c>
      <c r="B10" s="8" t="n">
        <v>1</v>
      </c>
      <c r="C10" s="8" t="n">
        <v>3</v>
      </c>
      <c r="D10" s="8" t="n">
        <v>6</v>
      </c>
      <c r="E10" s="8" t="n">
        <v>10</v>
      </c>
      <c r="F10" s="8" t="n">
        <v>15</v>
      </c>
      <c r="G10" s="6" t="s">
        <v>33</v>
      </c>
    </row>
    <row r="12" customFormat="false" ht="15" hidden="false" customHeight="false" outlineLevel="0" collapsed="false">
      <c r="A12" s="3" t="s">
        <v>34</v>
      </c>
    </row>
    <row r="13" customFormat="false" ht="15" hidden="false" customHeight="false" outlineLevel="0" collapsed="false">
      <c r="A13" s="2" t="s">
        <v>35</v>
      </c>
      <c r="B13" s="9" t="n">
        <v>0.05</v>
      </c>
      <c r="G13" s="6" t="s">
        <v>36</v>
      </c>
    </row>
    <row r="14" customFormat="false" ht="15" hidden="false" customHeight="false" outlineLevel="0" collapsed="false">
      <c r="A14" s="2" t="s">
        <v>37</v>
      </c>
      <c r="B14" s="10" t="n">
        <v>300000</v>
      </c>
    </row>
    <row r="15" customFormat="false" ht="15" hidden="false" customHeight="false" outlineLevel="0" collapsed="false">
      <c r="A15" s="2" t="s">
        <v>38</v>
      </c>
      <c r="B15" s="7" t="n">
        <v>50</v>
      </c>
    </row>
    <row r="16" customFormat="false" ht="15" hidden="false" customHeight="false" outlineLevel="0" collapsed="false">
      <c r="A16" s="2" t="s">
        <v>39</v>
      </c>
      <c r="B16" s="9" t="n">
        <v>0.45</v>
      </c>
      <c r="G16" s="6" t="s">
        <v>40</v>
      </c>
    </row>
    <row r="17" customFormat="false" ht="15" hidden="false" customHeight="false" outlineLevel="0" collapsed="false">
      <c r="A17" s="2" t="s">
        <v>41</v>
      </c>
      <c r="B17" s="9" t="n">
        <v>0.7</v>
      </c>
      <c r="G17" s="6" t="s">
        <v>42</v>
      </c>
    </row>
    <row r="18" customFormat="false" ht="15" hidden="false" customHeight="false" outlineLevel="0" collapsed="false">
      <c r="A18" s="2" t="s">
        <v>43</v>
      </c>
      <c r="B18" s="11" t="n">
        <v>0.06</v>
      </c>
    </row>
    <row r="19" customFormat="false" ht="15" hidden="false" customHeight="false" outlineLevel="0" collapsed="false">
      <c r="A19" s="2" t="s">
        <v>44</v>
      </c>
      <c r="B19" s="11" t="n">
        <v>0.015</v>
      </c>
    </row>
    <row r="20" customFormat="false" ht="15" hidden="false" customHeight="false" outlineLevel="0" collapsed="false">
      <c r="A20" s="2" t="s">
        <v>45</v>
      </c>
      <c r="B20" s="8" t="n">
        <v>2</v>
      </c>
      <c r="G20" s="6" t="s">
        <v>46</v>
      </c>
    </row>
    <row r="21" customFormat="false" ht="15" hidden="false" customHeight="false" outlineLevel="0" collapsed="false">
      <c r="A21" s="2" t="s">
        <v>47</v>
      </c>
      <c r="B21" s="12" t="n">
        <v>750</v>
      </c>
      <c r="G21" s="6" t="s">
        <v>48</v>
      </c>
    </row>
    <row r="22" customFormat="false" ht="15" hidden="false" customHeight="false" outlineLevel="0" collapsed="false">
      <c r="A22" s="2" t="s">
        <v>49</v>
      </c>
      <c r="B22" s="10" t="n">
        <v>15000</v>
      </c>
    </row>
    <row r="23" customFormat="false" ht="15" hidden="false" customHeight="false" outlineLevel="0" collapsed="false">
      <c r="A23" s="2" t="s">
        <v>50</v>
      </c>
      <c r="B23" s="10" t="n">
        <v>1000</v>
      </c>
    </row>
    <row r="24" customFormat="false" ht="15" hidden="false" customHeight="false" outlineLevel="0" collapsed="false">
      <c r="A24" s="2" t="s">
        <v>51</v>
      </c>
      <c r="B24" s="8" t="n">
        <v>2</v>
      </c>
      <c r="G24" s="6" t="s">
        <v>52</v>
      </c>
    </row>
    <row r="25" customFormat="false" ht="15" hidden="false" customHeight="false" outlineLevel="0" collapsed="false">
      <c r="A25" s="2" t="s">
        <v>53</v>
      </c>
      <c r="B25" s="11" t="n">
        <v>0.03</v>
      </c>
    </row>
    <row r="26" customFormat="false" ht="15" hidden="false" customHeight="false" outlineLevel="0" collapsed="false">
      <c r="A26" s="2" t="s">
        <v>54</v>
      </c>
      <c r="B26" s="11" t="n">
        <v>0.01</v>
      </c>
    </row>
    <row r="28" customFormat="false" ht="15" hidden="false" customHeight="false" outlineLevel="0" collapsed="false">
      <c r="A28" s="3" t="s">
        <v>55</v>
      </c>
    </row>
    <row r="29" customFormat="false" ht="15" hidden="false" customHeight="false" outlineLevel="0" collapsed="false">
      <c r="A29" s="2" t="s">
        <v>56</v>
      </c>
      <c r="B29" s="11" t="n">
        <v>0.7</v>
      </c>
    </row>
    <row r="30" customFormat="false" ht="15" hidden="false" customHeight="false" outlineLevel="0" collapsed="false">
      <c r="A30" s="2" t="s">
        <v>57</v>
      </c>
      <c r="B30" s="10" t="n">
        <v>10000</v>
      </c>
    </row>
    <row r="31" customFormat="false" ht="15" hidden="false" customHeight="false" outlineLevel="0" collapsed="false">
      <c r="A31" s="2" t="s">
        <v>58</v>
      </c>
      <c r="B31" s="10" t="n">
        <v>1500</v>
      </c>
    </row>
    <row r="32" customFormat="false" ht="15" hidden="false" customHeight="false" outlineLevel="0" collapsed="false">
      <c r="A32" s="2" t="s">
        <v>59</v>
      </c>
      <c r="B32" s="10" t="n">
        <v>20000</v>
      </c>
    </row>
    <row r="33" customFormat="false" ht="15" hidden="false" customHeight="false" outlineLevel="0" collapsed="false">
      <c r="A33" s="2" t="s">
        <v>60</v>
      </c>
      <c r="B33" s="10" t="n">
        <v>2500</v>
      </c>
    </row>
    <row r="35" customFormat="false" ht="15" hidden="false" customHeight="false" outlineLevel="0" collapsed="false">
      <c r="A35" s="3" t="s">
        <v>61</v>
      </c>
    </row>
    <row r="36" customFormat="false" ht="15" hidden="false" customHeight="false" outlineLevel="0" collapsed="false">
      <c r="A36" s="2" t="s">
        <v>62</v>
      </c>
      <c r="B36" s="12" t="n">
        <v>150</v>
      </c>
      <c r="G36" s="6" t="s">
        <v>63</v>
      </c>
    </row>
    <row r="37" customFormat="false" ht="15" hidden="false" customHeight="false" outlineLevel="0" collapsed="false">
      <c r="A37" s="2" t="s">
        <v>64</v>
      </c>
      <c r="B37" s="12" t="n">
        <v>40000</v>
      </c>
      <c r="G37" s="6" t="s">
        <v>65</v>
      </c>
    </row>
    <row r="39" customFormat="false" ht="15" hidden="false" customHeight="false" outlineLevel="0" collapsed="false">
      <c r="A39" s="3" t="s">
        <v>66</v>
      </c>
    </row>
    <row r="40" customFormat="false" ht="15" hidden="false" customHeight="false" outlineLevel="0" collapsed="false">
      <c r="A40" s="2" t="s">
        <v>67</v>
      </c>
      <c r="B40" s="7" t="n">
        <v>4000</v>
      </c>
      <c r="G40" s="6" t="s">
        <v>68</v>
      </c>
    </row>
    <row r="41" customFormat="false" ht="15" hidden="false" customHeight="false" outlineLevel="0" collapsed="false">
      <c r="A41" s="2" t="s">
        <v>69</v>
      </c>
      <c r="B41" s="7" t="n">
        <v>5500</v>
      </c>
      <c r="G41" s="6" t="s">
        <v>68</v>
      </c>
    </row>
    <row r="42" customFormat="false" ht="15" hidden="false" customHeight="false" outlineLevel="0" collapsed="false">
      <c r="A42" s="2" t="s">
        <v>70</v>
      </c>
      <c r="B42" s="8" t="n">
        <v>3000</v>
      </c>
      <c r="G42" s="6" t="s">
        <v>71</v>
      </c>
    </row>
    <row r="43" customFormat="false" ht="15" hidden="false" customHeight="false" outlineLevel="0" collapsed="false">
      <c r="A43" s="2" t="s">
        <v>72</v>
      </c>
      <c r="B43" s="12" t="n">
        <v>120000</v>
      </c>
      <c r="C43" s="12" t="n">
        <v>60000</v>
      </c>
      <c r="D43" s="12" t="n">
        <v>40000</v>
      </c>
    </row>
    <row r="44" customFormat="false" ht="15" hidden="false" customHeight="false" outlineLevel="0" collapsed="false">
      <c r="A44" s="2" t="s">
        <v>73</v>
      </c>
      <c r="B44" s="12" t="n">
        <v>50000</v>
      </c>
      <c r="C44" s="12" t="n">
        <v>25000</v>
      </c>
      <c r="D44" s="12" t="n">
        <v>15000</v>
      </c>
    </row>
    <row r="45" customFormat="false" ht="15" hidden="false" customHeight="false" outlineLevel="0" collapsed="false">
      <c r="A45" s="2" t="s">
        <v>74</v>
      </c>
      <c r="B45" s="12" t="n">
        <v>30000</v>
      </c>
      <c r="C45" s="12" t="n">
        <v>20000</v>
      </c>
      <c r="D45" s="12" t="n">
        <v>15000</v>
      </c>
    </row>
    <row r="46" customFormat="false" ht="15" hidden="false" customHeight="false" outlineLevel="0" collapsed="false">
      <c r="A46" s="2" t="s">
        <v>75</v>
      </c>
      <c r="B46" s="12" t="n">
        <v>30000</v>
      </c>
    </row>
    <row r="47" customFormat="false" ht="15" hidden="false" customHeight="false" outlineLevel="0" collapsed="false">
      <c r="A47" s="2" t="s">
        <v>76</v>
      </c>
      <c r="B47" s="12" t="n">
        <v>2500</v>
      </c>
      <c r="G47" s="6" t="s">
        <v>77</v>
      </c>
    </row>
    <row r="48" customFormat="false" ht="15" hidden="false" customHeight="false" outlineLevel="0" collapsed="false">
      <c r="A48" s="2" t="s">
        <v>78</v>
      </c>
      <c r="B48" s="12" t="n">
        <v>30000</v>
      </c>
      <c r="C48" s="12" t="n">
        <v>50000</v>
      </c>
    </row>
    <row r="49" customFormat="false" ht="15" hidden="false" customHeight="false" outlineLevel="0" collapsed="false">
      <c r="A49" s="2" t="s">
        <v>79</v>
      </c>
      <c r="B49" s="12" t="n">
        <v>20000</v>
      </c>
    </row>
    <row r="50" customFormat="false" ht="15" hidden="false" customHeight="false" outlineLevel="0" collapsed="false">
      <c r="A50" s="2" t="s">
        <v>80</v>
      </c>
      <c r="B50" s="11" t="n">
        <v>0.1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3"/>
  </cols>
  <sheetData>
    <row r="1" customFormat="false" ht="17.35" hidden="false" customHeight="false" outlineLevel="0" collapsed="false">
      <c r="A1" s="1" t="s">
        <v>81</v>
      </c>
    </row>
    <row r="2" customFormat="false" ht="15" hidden="false" customHeight="false" outlineLevel="0" collapsed="false">
      <c r="A2" s="13" t="s">
        <v>82</v>
      </c>
      <c r="B2" s="13" t="n">
        <v>1</v>
      </c>
      <c r="C2" s="13" t="n">
        <v>2</v>
      </c>
      <c r="D2" s="13" t="n">
        <v>3</v>
      </c>
      <c r="E2" s="13" t="n">
        <v>4</v>
      </c>
      <c r="F2" s="13" t="n">
        <v>5</v>
      </c>
    </row>
    <row r="3" customFormat="false" ht="15" hidden="false" customHeight="false" outlineLevel="0" collapsed="false">
      <c r="B3" s="3" t="s">
        <v>23</v>
      </c>
      <c r="C3" s="3" t="s">
        <v>24</v>
      </c>
      <c r="D3" s="3" t="s">
        <v>25</v>
      </c>
      <c r="E3" s="3" t="s">
        <v>26</v>
      </c>
      <c r="F3" s="3" t="s">
        <v>27</v>
      </c>
    </row>
    <row r="4" customFormat="false" ht="15" hidden="false" customHeight="false" outlineLevel="0" collapsed="false">
      <c r="A4" s="2" t="s">
        <v>83</v>
      </c>
      <c r="B4" s="14" t="n">
        <f aca="false">Assumptions!B8</f>
        <v>1</v>
      </c>
      <c r="C4" s="14" t="n">
        <f aca="false">Assumptions!C8</f>
        <v>1</v>
      </c>
      <c r="D4" s="14" t="n">
        <f aca="false">Assumptions!D8</f>
        <v>1</v>
      </c>
      <c r="E4" s="14" t="n">
        <f aca="false">Assumptions!E8</f>
        <v>1</v>
      </c>
      <c r="F4" s="14" t="n">
        <f aca="false">Assumptions!F8</f>
        <v>1</v>
      </c>
    </row>
    <row r="5" customFormat="false" ht="15" hidden="false" customHeight="false" outlineLevel="0" collapsed="false">
      <c r="A5" s="2" t="s">
        <v>84</v>
      </c>
      <c r="B5" s="15" t="n">
        <f aca="false">B4</f>
        <v>1</v>
      </c>
      <c r="C5" s="15" t="n">
        <f aca="false">B5+C4</f>
        <v>2</v>
      </c>
      <c r="D5" s="15" t="n">
        <f aca="false">C5+D4</f>
        <v>3</v>
      </c>
      <c r="E5" s="15" t="n">
        <f aca="false">D5+E4</f>
        <v>4</v>
      </c>
      <c r="F5" s="15" t="n">
        <f aca="false">E5+F4</f>
        <v>5</v>
      </c>
    </row>
    <row r="6" customFormat="false" ht="15" hidden="false" customHeight="false" outlineLevel="0" collapsed="false">
      <c r="A6" s="2" t="s">
        <v>85</v>
      </c>
      <c r="B6" s="16" t="n">
        <f aca="false">(B5-B4)*Assumptions!$B$15+B4*Assumptions!$B$15*Assumptions!$B$16</f>
        <v>22.5</v>
      </c>
      <c r="C6" s="16" t="n">
        <f aca="false">(C5-C4)*Assumptions!$B$15+C4*Assumptions!$B$15*Assumptions!$B$16</f>
        <v>72.5</v>
      </c>
      <c r="D6" s="16" t="n">
        <f aca="false">(D5-D4)*Assumptions!$B$15+D4*Assumptions!$B$15*Assumptions!$B$16</f>
        <v>122.5</v>
      </c>
      <c r="E6" s="16" t="n">
        <f aca="false">(E5-E4)*Assumptions!$B$15+E4*Assumptions!$B$15*Assumptions!$B$16</f>
        <v>172.5</v>
      </c>
      <c r="F6" s="16" t="n">
        <f aca="false">(F5-F4)*Assumptions!$B$15+F4*Assumptions!$B$15*Assumptions!$B$16</f>
        <v>222.5</v>
      </c>
    </row>
    <row r="7" customFormat="false" ht="15" hidden="false" customHeight="false" outlineLevel="0" collapsed="false">
      <c r="A7" s="2" t="s">
        <v>86</v>
      </c>
      <c r="B7" s="16" t="n">
        <f aca="false">B6*Assumptions!$B$17</f>
        <v>15.75</v>
      </c>
      <c r="C7" s="16" t="n">
        <f aca="false">C6*Assumptions!$B$17</f>
        <v>50.75</v>
      </c>
      <c r="D7" s="16" t="n">
        <f aca="false">D6*Assumptions!$B$17</f>
        <v>85.75</v>
      </c>
      <c r="E7" s="16" t="n">
        <f aca="false">E6*Assumptions!$B$17</f>
        <v>120.75</v>
      </c>
      <c r="F7" s="16" t="n">
        <f aca="false">F6*Assumptions!$B$17</f>
        <v>155.75</v>
      </c>
    </row>
    <row r="8" customFormat="false" ht="15" hidden="false" customHeight="false" outlineLevel="0" collapsed="false">
      <c r="A8" s="2" t="s">
        <v>87</v>
      </c>
      <c r="B8" s="16" t="n">
        <f aca="false">B6*(1-Assumptions!$B$17)</f>
        <v>6.75</v>
      </c>
      <c r="C8" s="16" t="n">
        <f aca="false">C6*(1-Assumptions!$B$17)</f>
        <v>21.75</v>
      </c>
      <c r="D8" s="16" t="n">
        <f aca="false">D6*(1-Assumptions!$B$17)</f>
        <v>36.75</v>
      </c>
      <c r="E8" s="16" t="n">
        <f aca="false">E6*(1-Assumptions!$B$17)</f>
        <v>51.75</v>
      </c>
      <c r="F8" s="16" t="n">
        <f aca="false">F6*(1-Assumptions!$B$17)</f>
        <v>66.75</v>
      </c>
    </row>
    <row r="9" customFormat="false" ht="15" hidden="false" customHeight="false" outlineLevel="0" collapsed="false">
      <c r="A9" s="2" t="s">
        <v>88</v>
      </c>
      <c r="B9" s="17" t="n">
        <f aca="false">B7*Assumptions!$B$14*Assumptions!$B$13</f>
        <v>236250</v>
      </c>
      <c r="C9" s="17" t="n">
        <f aca="false">C7*Assumptions!$B$14*Assumptions!$B$13</f>
        <v>761250</v>
      </c>
      <c r="D9" s="17" t="n">
        <f aca="false">D7*Assumptions!$B$14*Assumptions!$B$13</f>
        <v>1286250</v>
      </c>
      <c r="E9" s="17" t="n">
        <f aca="false">E7*Assumptions!$B$14*Assumptions!$B$13</f>
        <v>1811250</v>
      </c>
      <c r="F9" s="17" t="n">
        <f aca="false">F7*Assumptions!$B$14*Assumptions!$B$13</f>
        <v>2336250</v>
      </c>
    </row>
    <row r="10" customFormat="false" ht="15" hidden="false" customHeight="false" outlineLevel="0" collapsed="false">
      <c r="A10" s="2" t="s">
        <v>89</v>
      </c>
      <c r="B10" s="17" t="n">
        <f aca="false">B8*Assumptions!$B$14*Assumptions!$B$13</f>
        <v>101250</v>
      </c>
      <c r="C10" s="17" t="n">
        <f aca="false">C8*Assumptions!$B$14*Assumptions!$B$13</f>
        <v>326250</v>
      </c>
      <c r="D10" s="17" t="n">
        <f aca="false">D8*Assumptions!$B$14*Assumptions!$B$13</f>
        <v>551250</v>
      </c>
      <c r="E10" s="17" t="n">
        <f aca="false">E8*Assumptions!$B$14*Assumptions!$B$13</f>
        <v>776250</v>
      </c>
      <c r="F10" s="17" t="n">
        <f aca="false">F8*Assumptions!$B$14*Assumptions!$B$13</f>
        <v>1001250</v>
      </c>
    </row>
    <row r="11" customFormat="false" ht="15" hidden="false" customHeight="false" outlineLevel="0" collapsed="false">
      <c r="A11" s="2" t="s">
        <v>90</v>
      </c>
      <c r="B11" s="17" t="n">
        <f aca="false">B9*(Assumptions!$B$18+Assumptions!$B$19)</f>
        <v>17718.75</v>
      </c>
      <c r="C11" s="17" t="n">
        <f aca="false">C9*(Assumptions!$B$18+Assumptions!$B$19)</f>
        <v>57093.75</v>
      </c>
      <c r="D11" s="17" t="n">
        <f aca="false">D9*(Assumptions!$B$18+Assumptions!$B$19)</f>
        <v>96468.75</v>
      </c>
      <c r="E11" s="17" t="n">
        <f aca="false">E9*(Assumptions!$B$18+Assumptions!$B$19)</f>
        <v>135843.75</v>
      </c>
      <c r="F11" s="17" t="n">
        <f aca="false">F9*(Assumptions!$B$18+Assumptions!$B$19)</f>
        <v>175218.75</v>
      </c>
    </row>
    <row r="12" customFormat="false" ht="15" hidden="false" customHeight="false" outlineLevel="0" collapsed="false">
      <c r="A12" s="2" t="s">
        <v>91</v>
      </c>
      <c r="B12" s="17" t="n">
        <f aca="true">IF(B2&gt;Assumptions!$B$20,OFFSET(B10,0,-Assumptions!$B$20)*(Assumptions!$B$18+Assumptions!$B$19),0)</f>
        <v>0</v>
      </c>
      <c r="C12" s="17" t="n">
        <f aca="true">IF(C2&gt;Assumptions!$B$20,OFFSET(C10,0,-Assumptions!$B$20)*(Assumptions!$B$18+Assumptions!$B$19),0)</f>
        <v>0</v>
      </c>
      <c r="D12" s="17" t="n">
        <f aca="true">IF(D2&gt;Assumptions!$B$20,OFFSET(D10,0,-Assumptions!$B$20)*(Assumptions!$B$18+Assumptions!$B$19),0)</f>
        <v>7593.75</v>
      </c>
      <c r="E12" s="17" t="n">
        <f aca="true">IF(E2&gt;Assumptions!$B$20,OFFSET(E10,0,-Assumptions!$B$20)*(Assumptions!$B$18+Assumptions!$B$19),0)</f>
        <v>24468.75</v>
      </c>
      <c r="F12" s="17" t="n">
        <f aca="true">IF(F2&gt;Assumptions!$B$20,OFFSET(F10,0,-Assumptions!$B$20)*(Assumptions!$B$18+Assumptions!$B$19),0)</f>
        <v>41343.75</v>
      </c>
    </row>
    <row r="13" customFormat="false" ht="15" hidden="false" customHeight="false" outlineLevel="0" collapsed="false">
      <c r="A13" s="2" t="s">
        <v>92</v>
      </c>
      <c r="B13" s="17" t="n">
        <f aca="false">B4*6*Assumptions!$B$21+(B5-B4)*12*Assumptions!$B$21</f>
        <v>4500</v>
      </c>
      <c r="C13" s="17" t="n">
        <f aca="false">C4*6*Assumptions!$B$21+(C5-C4)*12*Assumptions!$B$21</f>
        <v>13500</v>
      </c>
      <c r="D13" s="17" t="n">
        <f aca="false">D4*6*Assumptions!$B$21+(D5-D4)*12*Assumptions!$B$21</f>
        <v>22500</v>
      </c>
      <c r="E13" s="17" t="n">
        <f aca="false">E4*6*Assumptions!$B$21+(E5-E4)*12*Assumptions!$B$21</f>
        <v>31500</v>
      </c>
      <c r="F13" s="17" t="n">
        <f aca="false">F4*6*Assumptions!$B$21+(F5-F4)*12*Assumptions!$B$21</f>
        <v>40500</v>
      </c>
    </row>
    <row r="14" customFormat="false" ht="15" hidden="false" customHeight="false" outlineLevel="0" collapsed="false">
      <c r="A14" s="2" t="s">
        <v>93</v>
      </c>
      <c r="B14" s="17" t="n">
        <f aca="false">MAX(0,B13-(B11+B12))</f>
        <v>0</v>
      </c>
      <c r="C14" s="17" t="n">
        <f aca="false">MAX(0,C13-(C11+C12))</f>
        <v>0</v>
      </c>
      <c r="D14" s="17" t="n">
        <f aca="false">MAX(0,D13-(D11+D12))</f>
        <v>0</v>
      </c>
      <c r="E14" s="17" t="n">
        <f aca="false">MAX(0,E13-(E11+E12))</f>
        <v>0</v>
      </c>
      <c r="F14" s="17" t="n">
        <f aca="false">MAX(0,F13-(F11+F12))</f>
        <v>0</v>
      </c>
    </row>
    <row r="15" customFormat="false" ht="15" hidden="false" customHeight="false" outlineLevel="0" collapsed="false">
      <c r="A15" s="2" t="s">
        <v>94</v>
      </c>
      <c r="B15" s="17" t="n">
        <f aca="false">B4*Assumptions!$B$22</f>
        <v>15000</v>
      </c>
      <c r="C15" s="17" t="n">
        <f aca="false">C4*Assumptions!$B$22</f>
        <v>15000</v>
      </c>
      <c r="D15" s="17" t="n">
        <f aca="false">D4*Assumptions!$B$22</f>
        <v>15000</v>
      </c>
      <c r="E15" s="17" t="n">
        <f aca="false">E4*Assumptions!$B$22</f>
        <v>15000</v>
      </c>
      <c r="F15" s="17" t="n">
        <f aca="false">F4*Assumptions!$B$22</f>
        <v>15000</v>
      </c>
    </row>
    <row r="16" customFormat="false" ht="15" hidden="false" customHeight="false" outlineLevel="0" collapsed="false">
      <c r="A16" s="2" t="s">
        <v>95</v>
      </c>
      <c r="B16" s="17" t="n">
        <f aca="false">(B4*6+(B5-B4)*12)*Assumptions!$B$23</f>
        <v>6000</v>
      </c>
      <c r="C16" s="17" t="n">
        <f aca="false">(C4*6+(C5-C4)*12)*Assumptions!$B$23</f>
        <v>18000</v>
      </c>
      <c r="D16" s="17" t="n">
        <f aca="false">(D4*6+(D5-D4)*12)*Assumptions!$B$23</f>
        <v>30000</v>
      </c>
      <c r="E16" s="17" t="n">
        <f aca="false">(E4*6+(E5-E4)*12)*Assumptions!$B$23</f>
        <v>42000</v>
      </c>
      <c r="F16" s="17" t="n">
        <f aca="false">(F4*6+(F5-F4)*12)*Assumptions!$B$23</f>
        <v>54000</v>
      </c>
    </row>
    <row r="17" customFormat="false" ht="15" hidden="false" customHeight="false" outlineLevel="0" collapsed="false">
      <c r="A17" s="2" t="s">
        <v>96</v>
      </c>
      <c r="B17" s="16" t="n">
        <f aca="false">B5*Assumptions!$B$24</f>
        <v>2</v>
      </c>
      <c r="C17" s="16" t="n">
        <f aca="false">C5*Assumptions!$B$24</f>
        <v>4</v>
      </c>
      <c r="D17" s="16" t="n">
        <f aca="false">D5*Assumptions!$B$24</f>
        <v>6</v>
      </c>
      <c r="E17" s="16" t="n">
        <f aca="false">E5*Assumptions!$B$24</f>
        <v>8</v>
      </c>
      <c r="F17" s="16" t="n">
        <f aca="false">F5*Assumptions!$B$24</f>
        <v>10</v>
      </c>
    </row>
    <row r="18" customFormat="false" ht="15" hidden="false" customHeight="false" outlineLevel="0" collapsed="false">
      <c r="A18" s="2" t="s">
        <v>97</v>
      </c>
      <c r="B18" s="17" t="n">
        <f aca="false">B17*Assumptions!$B$14*Assumptions!$B$13*(0.5+0.5*(Assumptions!$B$25+Assumptions!$B$26))</f>
        <v>15600</v>
      </c>
      <c r="C18" s="17" t="n">
        <f aca="false">C17*Assumptions!$B$14*Assumptions!$B$13*(0.5+0.5*(Assumptions!$B$25+Assumptions!$B$26))</f>
        <v>31200</v>
      </c>
      <c r="D18" s="17" t="n">
        <f aca="false">D17*Assumptions!$B$14*Assumptions!$B$13*(0.5+0.5*(Assumptions!$B$25+Assumptions!$B$26))</f>
        <v>46800</v>
      </c>
      <c r="E18" s="17" t="n">
        <f aca="false">E17*Assumptions!$B$14*Assumptions!$B$13*(0.5+0.5*(Assumptions!$B$25+Assumptions!$B$26))</f>
        <v>62400</v>
      </c>
      <c r="F18" s="17" t="n">
        <f aca="false">F17*Assumptions!$B$14*Assumptions!$B$13*(0.5+0.5*(Assumptions!$B$25+Assumptions!$B$26))</f>
        <v>78000</v>
      </c>
    </row>
    <row r="19" customFormat="false" ht="15" hidden="false" customHeight="false" outlineLevel="0" collapsed="false">
      <c r="A19" s="2" t="s">
        <v>98</v>
      </c>
      <c r="B19" s="17" t="n">
        <f aca="true">IF(B2&gt;Assumptions!$B$20,OFFSET(B18,0,-Assumptions!$B$20),0)</f>
        <v>0</v>
      </c>
      <c r="C19" s="17" t="n">
        <f aca="true">IF(C2&gt;Assumptions!$B$20,OFFSET(C18,0,-Assumptions!$B$20),0)</f>
        <v>0</v>
      </c>
      <c r="D19" s="17" t="n">
        <f aca="true">IF(D2&gt;Assumptions!$B$20,OFFSET(D18,0,-Assumptions!$B$20),0)</f>
        <v>15600</v>
      </c>
      <c r="E19" s="17" t="n">
        <f aca="true">IF(E2&gt;Assumptions!$B$20,OFFSET(E18,0,-Assumptions!$B$20),0)</f>
        <v>31200</v>
      </c>
      <c r="F19" s="17" t="n">
        <f aca="true">IF(F2&gt;Assumptions!$B$20,OFFSET(F18,0,-Assumptions!$B$20),0)</f>
        <v>46800</v>
      </c>
    </row>
    <row r="20" customFormat="false" ht="15" hidden="false" customHeight="false" outlineLevel="0" collapsed="false">
      <c r="A20" s="18" t="s">
        <v>99</v>
      </c>
      <c r="B20" s="19" t="n">
        <f aca="false">B11+B12+B14+B15+B16+B19</f>
        <v>38718.75</v>
      </c>
      <c r="C20" s="19" t="n">
        <f aca="false">C11+C12+C14+C15+C16+C19</f>
        <v>90093.75</v>
      </c>
      <c r="D20" s="19" t="n">
        <f aca="false">D11+D12+D14+D15+D16+D19</f>
        <v>164662.5</v>
      </c>
      <c r="E20" s="19" t="n">
        <f aca="false">E11+E12+E14+E15+E16+E19</f>
        <v>248512.5</v>
      </c>
      <c r="F20" s="19" t="n">
        <f aca="false">F11+F12+F14+F15+F16+F19</f>
        <v>332362.5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3"/>
  </cols>
  <sheetData>
    <row r="1" customFormat="false" ht="17.35" hidden="false" customHeight="false" outlineLevel="0" collapsed="false">
      <c r="A1" s="1" t="s">
        <v>100</v>
      </c>
    </row>
    <row r="3" customFormat="false" ht="15" hidden="false" customHeight="false" outlineLevel="0" collapsed="false">
      <c r="B3" s="3" t="s">
        <v>23</v>
      </c>
      <c r="C3" s="3" t="s">
        <v>24</v>
      </c>
      <c r="D3" s="3" t="s">
        <v>25</v>
      </c>
      <c r="E3" s="3" t="s">
        <v>26</v>
      </c>
      <c r="F3" s="3" t="s">
        <v>27</v>
      </c>
    </row>
    <row r="4" customFormat="false" ht="15" hidden="false" customHeight="false" outlineLevel="0" collapsed="false">
      <c r="A4" s="2" t="s">
        <v>30</v>
      </c>
      <c r="B4" s="14" t="n">
        <f aca="false">Assumptions!B9</f>
        <v>2</v>
      </c>
      <c r="C4" s="14" t="n">
        <f aca="false">Assumptions!C9</f>
        <v>4</v>
      </c>
      <c r="D4" s="14" t="n">
        <f aca="false">Assumptions!D9</f>
        <v>5</v>
      </c>
      <c r="E4" s="14" t="n">
        <f aca="false">Assumptions!E9</f>
        <v>5</v>
      </c>
      <c r="F4" s="14" t="n">
        <f aca="false">Assumptions!F9</f>
        <v>4</v>
      </c>
    </row>
    <row r="5" customFormat="false" ht="15" hidden="false" customHeight="false" outlineLevel="0" collapsed="false">
      <c r="A5" s="2" t="s">
        <v>101</v>
      </c>
      <c r="B5" s="15" t="n">
        <f aca="false">B4</f>
        <v>2</v>
      </c>
      <c r="C5" s="15" t="n">
        <f aca="false">B5+C4</f>
        <v>6</v>
      </c>
      <c r="D5" s="15" t="n">
        <f aca="false">C5+D4</f>
        <v>11</v>
      </c>
      <c r="E5" s="15" t="n">
        <f aca="false">D5+E4</f>
        <v>16</v>
      </c>
      <c r="F5" s="15" t="n">
        <f aca="false">E5+F4</f>
        <v>20</v>
      </c>
    </row>
    <row r="6" customFormat="false" ht="15" hidden="false" customHeight="false" outlineLevel="0" collapsed="false">
      <c r="A6" s="2" t="s">
        <v>102</v>
      </c>
      <c r="B6" s="17" t="n">
        <f aca="false">B4*(Assumptions!$B$29*Assumptions!$B$30+(1-Assumptions!$B$29)*Assumptions!$B$32)</f>
        <v>26000</v>
      </c>
      <c r="C6" s="17" t="n">
        <f aca="false">C4*(Assumptions!$B$29*Assumptions!$B$30+(1-Assumptions!$B$29)*Assumptions!$B$32)</f>
        <v>52000</v>
      </c>
      <c r="D6" s="17" t="n">
        <f aca="false">D4*(Assumptions!$B$29*Assumptions!$B$30+(1-Assumptions!$B$29)*Assumptions!$B$32)</f>
        <v>65000</v>
      </c>
      <c r="E6" s="17" t="n">
        <f aca="false">E4*(Assumptions!$B$29*Assumptions!$B$30+(1-Assumptions!$B$29)*Assumptions!$B$32)</f>
        <v>65000</v>
      </c>
      <c r="F6" s="17" t="n">
        <f aca="false">F4*(Assumptions!$B$29*Assumptions!$B$30+(1-Assumptions!$B$29)*Assumptions!$B$32)</f>
        <v>52000</v>
      </c>
    </row>
    <row r="7" customFormat="false" ht="15" hidden="false" customHeight="false" outlineLevel="0" collapsed="false">
      <c r="A7" s="2" t="s">
        <v>103</v>
      </c>
      <c r="B7" s="17" t="n">
        <f aca="false">((B5-B4)*12+B4*6)*(Assumptions!$B$29*Assumptions!$B$31+(1-Assumptions!$B$29)*Assumptions!$B$33)</f>
        <v>21600</v>
      </c>
      <c r="C7" s="17" t="n">
        <f aca="false">((C5-C4)*12+C4*6)*(Assumptions!$B$29*Assumptions!$B$31+(1-Assumptions!$B$29)*Assumptions!$B$33)</f>
        <v>86400</v>
      </c>
      <c r="D7" s="17" t="n">
        <f aca="false">((D5-D4)*12+D4*6)*(Assumptions!$B$29*Assumptions!$B$31+(1-Assumptions!$B$29)*Assumptions!$B$33)</f>
        <v>183600</v>
      </c>
      <c r="E7" s="17" t="n">
        <f aca="false">((E5-E4)*12+E4*6)*(Assumptions!$B$29*Assumptions!$B$31+(1-Assumptions!$B$29)*Assumptions!$B$33)</f>
        <v>291600</v>
      </c>
      <c r="F7" s="17" t="n">
        <f aca="false">((F5-F4)*12+F4*6)*(Assumptions!$B$29*Assumptions!$B$31+(1-Assumptions!$B$29)*Assumptions!$B$33)</f>
        <v>388800</v>
      </c>
    </row>
    <row r="8" customFormat="false" ht="15" hidden="false" customHeight="false" outlineLevel="0" collapsed="false">
      <c r="A8" s="18" t="s">
        <v>104</v>
      </c>
      <c r="B8" s="19" t="n">
        <f aca="false">B6+B7</f>
        <v>47600</v>
      </c>
      <c r="C8" s="19" t="n">
        <f aca="false">C6+C7</f>
        <v>138400</v>
      </c>
      <c r="D8" s="19" t="n">
        <f aca="false">D6+D7</f>
        <v>248600</v>
      </c>
      <c r="E8" s="19" t="n">
        <f aca="false">E6+E7</f>
        <v>356600</v>
      </c>
      <c r="F8" s="19" t="n">
        <f aca="false">F6+F7</f>
        <v>440800</v>
      </c>
    </row>
    <row r="10" customFormat="false" ht="15" hidden="false" customHeight="false" outlineLevel="0" collapsed="false">
      <c r="A10" s="2" t="s">
        <v>105</v>
      </c>
      <c r="B10" s="14" t="n">
        <f aca="false">Franchise!B5+B5</f>
        <v>3</v>
      </c>
      <c r="C10" s="14" t="n">
        <f aca="false">Franchise!C5+C5</f>
        <v>8</v>
      </c>
      <c r="D10" s="14" t="n">
        <f aca="false">Franchise!D5+D5</f>
        <v>14</v>
      </c>
      <c r="E10" s="14" t="n">
        <f aca="false">Franchise!E5+E5</f>
        <v>20</v>
      </c>
      <c r="F10" s="14" t="n">
        <f aca="false">Franchise!F5+F5</f>
        <v>25</v>
      </c>
    </row>
    <row r="11" customFormat="false" ht="15" hidden="false" customHeight="false" outlineLevel="0" collapsed="false">
      <c r="A11" s="18" t="s">
        <v>106</v>
      </c>
      <c r="B11" s="19" t="n">
        <f aca="false">((Franchise!B5+B5-Franchise!B4-B4)*12+(Franchise!B4+B4)*6)*Assumptions!$B$36</f>
        <v>2700</v>
      </c>
      <c r="C11" s="19" t="n">
        <f aca="false">((Franchise!C5+C5-Franchise!C4-C4)*12+(Franchise!C4+C4)*6)*Assumptions!$B$36</f>
        <v>9900</v>
      </c>
      <c r="D11" s="19" t="n">
        <f aca="false">((Franchise!D5+D5-Franchise!D4-D4)*12+(Franchise!D4+D4)*6)*Assumptions!$B$36</f>
        <v>19800</v>
      </c>
      <c r="E11" s="19" t="n">
        <f aca="false">((Franchise!E5+E5-Franchise!E4-E4)*12+(Franchise!E4+E4)*6)*Assumptions!$B$36</f>
        <v>30600</v>
      </c>
      <c r="F11" s="19" t="n">
        <f aca="false">((Franchise!F5+F5-Franchise!F4-F4)*12+(Franchise!F4+F4)*6)*Assumptions!$B$36</f>
        <v>40500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3"/>
  </cols>
  <sheetData>
    <row r="1" customFormat="false" ht="17.35" hidden="false" customHeight="false" outlineLevel="0" collapsed="false">
      <c r="A1" s="1" t="s">
        <v>107</v>
      </c>
    </row>
    <row r="3" customFormat="false" ht="15" hidden="false" customHeight="false" outlineLevel="0" collapsed="false">
      <c r="B3" s="3" t="s">
        <v>23</v>
      </c>
      <c r="C3" s="3" t="s">
        <v>24</v>
      </c>
      <c r="D3" s="3" t="s">
        <v>25</v>
      </c>
      <c r="E3" s="3" t="s">
        <v>26</v>
      </c>
      <c r="F3" s="3" t="s">
        <v>27</v>
      </c>
    </row>
    <row r="4" customFormat="false" ht="15" hidden="false" customHeight="false" outlineLevel="0" collapsed="false">
      <c r="A4" s="2" t="s">
        <v>108</v>
      </c>
      <c r="B4" s="17" t="n">
        <f aca="false">Assumptions!$B$40*12*Assumptions!$B$5</f>
        <v>52800</v>
      </c>
      <c r="C4" s="17" t="n">
        <f aca="false">Assumptions!$B$41*12*Assumptions!$B$5</f>
        <v>72600</v>
      </c>
      <c r="D4" s="17" t="n">
        <f aca="false">Assumptions!$B$41*12*Assumptions!$B$5</f>
        <v>72600</v>
      </c>
      <c r="E4" s="17" t="n">
        <f aca="false">Assumptions!$B$41*12*Assumptions!$B$5</f>
        <v>72600</v>
      </c>
      <c r="F4" s="17" t="n">
        <f aca="false">Assumptions!$B$41*12*Assumptions!$B$5</f>
        <v>72600</v>
      </c>
    </row>
    <row r="5" customFormat="false" ht="15" hidden="false" customHeight="false" outlineLevel="0" collapsed="false">
      <c r="A5" s="2" t="s">
        <v>109</v>
      </c>
      <c r="B5" s="20" t="n">
        <f aca="false">Assumptions!$B$42*12*Assumptions!$B$5</f>
        <v>39600</v>
      </c>
      <c r="C5" s="20" t="n">
        <f aca="false">Assumptions!$B$42*12*Assumptions!$B$5</f>
        <v>39600</v>
      </c>
      <c r="D5" s="20" t="n">
        <f aca="false">Assumptions!$B$42*12*Assumptions!$B$5</f>
        <v>39600</v>
      </c>
      <c r="E5" s="20" t="n">
        <f aca="false">Assumptions!$B$42*12*Assumptions!$B$5</f>
        <v>39600</v>
      </c>
      <c r="F5" s="20" t="n">
        <f aca="false">Assumptions!$B$42*12*Assumptions!$B$5</f>
        <v>39600</v>
      </c>
    </row>
    <row r="6" customFormat="false" ht="15" hidden="false" customHeight="false" outlineLevel="0" collapsed="false">
      <c r="A6" s="2" t="s">
        <v>110</v>
      </c>
      <c r="B6" s="17" t="n">
        <f aca="false">Assumptions!$B$43</f>
        <v>120000</v>
      </c>
      <c r="C6" s="17" t="n">
        <f aca="false">Assumptions!$C$43</f>
        <v>60000</v>
      </c>
      <c r="D6" s="17" t="n">
        <f aca="false">Assumptions!$D$43</f>
        <v>40000</v>
      </c>
      <c r="E6" s="17" t="n">
        <f aca="false">Assumptions!$D$43</f>
        <v>40000</v>
      </c>
      <c r="F6" s="17" t="n">
        <f aca="false">Assumptions!$D$43</f>
        <v>40000</v>
      </c>
    </row>
    <row r="7" customFormat="false" ht="15" hidden="false" customHeight="false" outlineLevel="0" collapsed="false">
      <c r="A7" s="2" t="s">
        <v>111</v>
      </c>
      <c r="B7" s="17" t="n">
        <f aca="false">Assumptions!$B$44</f>
        <v>50000</v>
      </c>
      <c r="C7" s="17" t="n">
        <f aca="false">Assumptions!$C$44</f>
        <v>25000</v>
      </c>
      <c r="D7" s="17" t="n">
        <f aca="false">Assumptions!$D$44</f>
        <v>15000</v>
      </c>
      <c r="E7" s="17" t="n">
        <f aca="false">Assumptions!$D$44</f>
        <v>15000</v>
      </c>
      <c r="F7" s="17" t="n">
        <f aca="false">Assumptions!$D$44</f>
        <v>15000</v>
      </c>
    </row>
    <row r="8" customFormat="false" ht="15" hidden="false" customHeight="false" outlineLevel="0" collapsed="false">
      <c r="A8" s="2" t="s">
        <v>112</v>
      </c>
      <c r="B8" s="17" t="n">
        <f aca="false">Assumptions!$B$45</f>
        <v>30000</v>
      </c>
      <c r="C8" s="17" t="n">
        <f aca="false">Assumptions!$C$45</f>
        <v>20000</v>
      </c>
      <c r="D8" s="17" t="n">
        <f aca="false">Assumptions!$D$45</f>
        <v>15000</v>
      </c>
      <c r="E8" s="17" t="n">
        <f aca="false">Assumptions!$D$45</f>
        <v>15000</v>
      </c>
      <c r="F8" s="17" t="n">
        <f aca="false">Assumptions!$D$45</f>
        <v>15000</v>
      </c>
    </row>
    <row r="9" customFormat="false" ht="15" hidden="false" customHeight="false" outlineLevel="0" collapsed="false">
      <c r="A9" s="2" t="s">
        <v>113</v>
      </c>
      <c r="B9" s="17" t="n">
        <f aca="false">(Franchise!B5+WhiteLabel!B5)*Assumptions!$B$47</f>
        <v>7500</v>
      </c>
      <c r="C9" s="17" t="n">
        <f aca="false">Assumptions!$B$46+(Franchise!C5+WhiteLabel!C5)*Assumptions!$B$47</f>
        <v>50000</v>
      </c>
      <c r="D9" s="17" t="n">
        <f aca="false">Assumptions!$B$46+(Franchise!D5+WhiteLabel!D5)*Assumptions!$B$47</f>
        <v>65000</v>
      </c>
      <c r="E9" s="17" t="n">
        <f aca="false">Assumptions!$B$46+(Franchise!E5+WhiteLabel!E5)*Assumptions!$B$47</f>
        <v>80000</v>
      </c>
      <c r="F9" s="17" t="n">
        <f aca="false">Assumptions!$B$46+(Franchise!F5+WhiteLabel!F5)*Assumptions!$B$47</f>
        <v>92500</v>
      </c>
    </row>
    <row r="10" customFormat="false" ht="15" hidden="false" customHeight="false" outlineLevel="0" collapsed="false">
      <c r="A10" s="2" t="s">
        <v>114</v>
      </c>
      <c r="B10" s="17" t="n">
        <f aca="false">Assumptions!$B$48</f>
        <v>30000</v>
      </c>
      <c r="C10" s="17" t="n">
        <f aca="false">Assumptions!$B$48</f>
        <v>30000</v>
      </c>
      <c r="D10" s="17" t="n">
        <f aca="false">Assumptions!$C$48</f>
        <v>50000</v>
      </c>
      <c r="E10" s="17" t="n">
        <f aca="false">Assumptions!$C$48</f>
        <v>50000</v>
      </c>
      <c r="F10" s="17" t="n">
        <f aca="false">Assumptions!$C$48</f>
        <v>50000</v>
      </c>
    </row>
    <row r="11" customFormat="false" ht="15" hidden="false" customHeight="false" outlineLevel="0" collapsed="false">
      <c r="A11" s="2" t="s">
        <v>115</v>
      </c>
      <c r="B11" s="17" t="n">
        <f aca="false">Assumptions!$B$49</f>
        <v>20000</v>
      </c>
      <c r="C11" s="17" t="n">
        <f aca="false">Assumptions!$B$49</f>
        <v>20000</v>
      </c>
      <c r="D11" s="17" t="n">
        <f aca="false">Assumptions!$B$49</f>
        <v>20000</v>
      </c>
      <c r="E11" s="17" t="n">
        <f aca="false">Assumptions!$B$49</f>
        <v>20000</v>
      </c>
      <c r="F11" s="17" t="n">
        <f aca="false">Assumptions!$B$49</f>
        <v>20000</v>
      </c>
    </row>
    <row r="12" customFormat="false" ht="15" hidden="false" customHeight="false" outlineLevel="0" collapsed="false">
      <c r="A12" s="2" t="s">
        <v>116</v>
      </c>
      <c r="B12" s="17" t="n">
        <f aca="false">SUM(B4:B11)</f>
        <v>349900</v>
      </c>
      <c r="C12" s="17" t="n">
        <f aca="false">SUM(C4:C11)</f>
        <v>317200</v>
      </c>
      <c r="D12" s="17" t="n">
        <f aca="false">SUM(D4:D11)</f>
        <v>317200</v>
      </c>
      <c r="E12" s="17" t="n">
        <f aca="false">SUM(E4:E11)</f>
        <v>332200</v>
      </c>
      <c r="F12" s="17" t="n">
        <f aca="false">SUM(F4:F11)</f>
        <v>344700</v>
      </c>
    </row>
    <row r="13" customFormat="false" ht="15" hidden="false" customHeight="false" outlineLevel="0" collapsed="false">
      <c r="A13" s="2" t="s">
        <v>117</v>
      </c>
      <c r="B13" s="17" t="n">
        <f aca="false">B12*Assumptions!$B$50</f>
        <v>34990</v>
      </c>
      <c r="C13" s="17" t="n">
        <f aca="false">C12*Assumptions!$B$50</f>
        <v>31720</v>
      </c>
      <c r="D13" s="17" t="n">
        <f aca="false">D12*Assumptions!$B$50</f>
        <v>31720</v>
      </c>
      <c r="E13" s="17" t="n">
        <f aca="false">E12*Assumptions!$B$50</f>
        <v>33220</v>
      </c>
      <c r="F13" s="17" t="n">
        <f aca="false">F12*Assumptions!$B$50</f>
        <v>34470</v>
      </c>
    </row>
    <row r="14" customFormat="false" ht="15" hidden="false" customHeight="false" outlineLevel="0" collapsed="false">
      <c r="A14" s="18" t="s">
        <v>118</v>
      </c>
      <c r="B14" s="19" t="n">
        <f aca="false">B12+B13</f>
        <v>384890</v>
      </c>
      <c r="C14" s="19" t="n">
        <f aca="false">C12+C13</f>
        <v>348920</v>
      </c>
      <c r="D14" s="19" t="n">
        <f aca="false">D12+D13</f>
        <v>348920</v>
      </c>
      <c r="E14" s="19" t="n">
        <f aca="false">E12+E13</f>
        <v>365420</v>
      </c>
      <c r="F14" s="19" t="n">
        <f aca="false">F12+F13</f>
        <v>379170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3"/>
  </cols>
  <sheetData>
    <row r="1" customFormat="false" ht="17.35" hidden="false" customHeight="false" outlineLevel="0" collapsed="false">
      <c r="A1" s="1" t="s">
        <v>119</v>
      </c>
    </row>
    <row r="3" customFormat="false" ht="15" hidden="false" customHeight="false" outlineLevel="0" collapsed="false">
      <c r="B3" s="3" t="s">
        <v>23</v>
      </c>
      <c r="C3" s="3" t="s">
        <v>24</v>
      </c>
      <c r="D3" s="3" t="s">
        <v>25</v>
      </c>
      <c r="E3" s="3" t="s">
        <v>26</v>
      </c>
      <c r="F3" s="3" t="s">
        <v>27</v>
      </c>
    </row>
    <row r="4" customFormat="false" ht="15" hidden="false" customHeight="false" outlineLevel="0" collapsed="false">
      <c r="A4" s="2" t="s">
        <v>120</v>
      </c>
      <c r="B4" s="21" t="n">
        <f aca="false">Franchise!B20</f>
        <v>38718.75</v>
      </c>
      <c r="C4" s="21" t="n">
        <f aca="false">Franchise!C20</f>
        <v>90093.75</v>
      </c>
      <c r="D4" s="21" t="n">
        <f aca="false">Franchise!D20</f>
        <v>164662.5</v>
      </c>
      <c r="E4" s="21" t="n">
        <f aca="false">Franchise!E20</f>
        <v>248512.5</v>
      </c>
      <c r="F4" s="21" t="n">
        <f aca="false">Franchise!F20</f>
        <v>332362.5</v>
      </c>
    </row>
    <row r="5" customFormat="false" ht="15" hidden="false" customHeight="false" outlineLevel="0" collapsed="false">
      <c r="A5" s="2" t="s">
        <v>121</v>
      </c>
      <c r="B5" s="21" t="n">
        <f aca="false">WhiteLabel!B8</f>
        <v>47600</v>
      </c>
      <c r="C5" s="21" t="n">
        <f aca="false">WhiteLabel!C8</f>
        <v>138400</v>
      </c>
      <c r="D5" s="21" t="n">
        <f aca="false">WhiteLabel!D8</f>
        <v>248600</v>
      </c>
      <c r="E5" s="21" t="n">
        <f aca="false">WhiteLabel!E8</f>
        <v>356600</v>
      </c>
      <c r="F5" s="21" t="n">
        <f aca="false">WhiteLabel!F8</f>
        <v>440800</v>
      </c>
    </row>
    <row r="6" customFormat="false" ht="15" hidden="false" customHeight="false" outlineLevel="0" collapsed="false">
      <c r="A6" s="2" t="s">
        <v>122</v>
      </c>
      <c r="B6" s="21" t="n">
        <f aca="false">WhiteLabel!B11</f>
        <v>2700</v>
      </c>
      <c r="C6" s="21" t="n">
        <f aca="false">WhiteLabel!C11</f>
        <v>9900</v>
      </c>
      <c r="D6" s="21" t="n">
        <f aca="false">WhiteLabel!D11</f>
        <v>19800</v>
      </c>
      <c r="E6" s="21" t="n">
        <f aca="false">WhiteLabel!E11</f>
        <v>30600</v>
      </c>
      <c r="F6" s="21" t="n">
        <f aca="false">WhiteLabel!F11</f>
        <v>40500</v>
      </c>
    </row>
    <row r="7" customFormat="false" ht="15" hidden="false" customHeight="false" outlineLevel="0" collapsed="false">
      <c r="A7" s="2" t="s">
        <v>123</v>
      </c>
      <c r="B7" s="21" t="n">
        <f aca="false">Assumptions!B10*Assumptions!$B$37</f>
        <v>40000</v>
      </c>
      <c r="C7" s="21" t="n">
        <f aca="false">Assumptions!C10*Assumptions!$B$37</f>
        <v>120000</v>
      </c>
      <c r="D7" s="21" t="n">
        <f aca="false">Assumptions!D10*Assumptions!$B$37</f>
        <v>240000</v>
      </c>
      <c r="E7" s="21" t="n">
        <f aca="false">Assumptions!E10*Assumptions!$B$37</f>
        <v>400000</v>
      </c>
      <c r="F7" s="21" t="n">
        <f aca="false">Assumptions!F10*Assumptions!$B$37</f>
        <v>600000</v>
      </c>
    </row>
    <row r="8" customFormat="false" ht="15" hidden="false" customHeight="false" outlineLevel="0" collapsed="false">
      <c r="A8" s="18" t="s">
        <v>124</v>
      </c>
      <c r="B8" s="19" t="n">
        <f aca="false">SUM(B4:B7)</f>
        <v>129018.75</v>
      </c>
      <c r="C8" s="19" t="n">
        <f aca="false">SUM(C4:C7)</f>
        <v>358393.75</v>
      </c>
      <c r="D8" s="19" t="n">
        <f aca="false">SUM(D4:D7)</f>
        <v>673062.5</v>
      </c>
      <c r="E8" s="19" t="n">
        <f aca="false">SUM(E4:E7)</f>
        <v>1035712.5</v>
      </c>
      <c r="F8" s="19" t="n">
        <f aca="false">SUM(F4:F7)</f>
        <v>1413662.5</v>
      </c>
    </row>
    <row r="10" customFormat="false" ht="15" hidden="false" customHeight="false" outlineLevel="0" collapsed="false">
      <c r="A10" s="2" t="s">
        <v>125</v>
      </c>
      <c r="B10" s="21" t="n">
        <f aca="false">Costs!B14</f>
        <v>384890</v>
      </c>
      <c r="C10" s="21" t="n">
        <f aca="false">Costs!C14</f>
        <v>348920</v>
      </c>
      <c r="D10" s="21" t="n">
        <f aca="false">Costs!D14</f>
        <v>348920</v>
      </c>
      <c r="E10" s="21" t="n">
        <f aca="false">Costs!E14</f>
        <v>365420</v>
      </c>
      <c r="F10" s="21" t="n">
        <f aca="false">Costs!F14</f>
        <v>379170</v>
      </c>
    </row>
    <row r="11" customFormat="false" ht="15" hidden="false" customHeight="false" outlineLevel="0" collapsed="false">
      <c r="A11" s="18" t="s">
        <v>126</v>
      </c>
      <c r="B11" s="19" t="n">
        <f aca="false">B8-B10</f>
        <v>-255871.25</v>
      </c>
      <c r="C11" s="19" t="n">
        <f aca="false">C8-C10</f>
        <v>9473.75</v>
      </c>
      <c r="D11" s="19" t="n">
        <f aca="false">D8-D10</f>
        <v>324142.5</v>
      </c>
      <c r="E11" s="19" t="n">
        <f aca="false">E8-E10</f>
        <v>670292.5</v>
      </c>
      <c r="F11" s="19" t="n">
        <f aca="false">F8-F10</f>
        <v>1034492.5</v>
      </c>
    </row>
    <row r="12" customFormat="false" ht="15" hidden="false" customHeight="false" outlineLevel="0" collapsed="false">
      <c r="A12" s="2" t="s">
        <v>127</v>
      </c>
      <c r="B12" s="22" t="n">
        <f aca="false">IF(B8=0,0,B11/B8)</f>
        <v>-1.98320980477644</v>
      </c>
      <c r="C12" s="22" t="n">
        <f aca="false">IF(C8=0,0,C11/C8)</f>
        <v>0.0264339152119701</v>
      </c>
      <c r="D12" s="22" t="n">
        <f aca="false">IF(D8=0,0,D11/D8)</f>
        <v>0.481593462717058</v>
      </c>
      <c r="E12" s="22" t="n">
        <f aca="false">IF(E8=0,0,E11/E8)</f>
        <v>0.647180081344968</v>
      </c>
      <c r="F12" s="22" t="n">
        <f aca="false">IF(F8=0,0,F11/F8)</f>
        <v>0.731781807892619</v>
      </c>
    </row>
    <row r="14" customFormat="false" ht="15" hidden="false" customHeight="false" outlineLevel="0" collapsed="false">
      <c r="A14" s="2" t="s">
        <v>128</v>
      </c>
      <c r="B14" s="17" t="n">
        <f aca="false">B11</f>
        <v>-255871.25</v>
      </c>
      <c r="C14" s="17" t="n">
        <f aca="false">B14+C11</f>
        <v>-246397.5</v>
      </c>
      <c r="D14" s="17" t="n">
        <f aca="false">C14+D11</f>
        <v>77745</v>
      </c>
      <c r="E14" s="17" t="n">
        <f aca="false">D14+E11</f>
        <v>748037.5</v>
      </c>
      <c r="F14" s="17" t="n">
        <f aca="false">E14+F11</f>
        <v>1782530</v>
      </c>
    </row>
    <row r="16" customFormat="false" ht="15" hidden="false" customHeight="false" outlineLevel="0" collapsed="false">
      <c r="A16" s="4" t="s">
        <v>129</v>
      </c>
      <c r="B16" s="17" t="n">
        <f aca="false">Costs!B14+Costs!C14</f>
        <v>733810</v>
      </c>
    </row>
    <row r="17" customFormat="false" ht="15" hidden="false" customHeight="false" outlineLevel="0" collapsed="false">
      <c r="A17" s="4" t="s">
        <v>130</v>
      </c>
      <c r="B17" s="17" t="n">
        <f aca="false">-C14</f>
        <v>246397.5</v>
      </c>
    </row>
    <row r="18" customFormat="false" ht="15" hidden="false" customHeight="false" outlineLevel="0" collapsed="false">
      <c r="A18" s="4" t="s">
        <v>131</v>
      </c>
      <c r="B18" s="10" t="n">
        <v>650000</v>
      </c>
    </row>
    <row r="19" customFormat="false" ht="15" hidden="false" customHeight="false" outlineLevel="0" collapsed="false">
      <c r="A19" s="4" t="s">
        <v>132</v>
      </c>
      <c r="B19" s="17" t="n">
        <f aca="false">B17-B18</f>
        <v>-403602.5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2" style="0" width="16"/>
  </cols>
  <sheetData>
    <row r="1" customFormat="false" ht="17.35" hidden="false" customHeight="false" outlineLevel="0" collapsed="false">
      <c r="A1" s="1" t="s">
        <v>133</v>
      </c>
    </row>
    <row r="3" customFormat="false" ht="15" hidden="false" customHeight="false" outlineLevel="0" collapsed="false">
      <c r="A3" s="2" t="s">
        <v>134</v>
      </c>
      <c r="B3" s="21" t="n">
        <f aca="false">Franchise!F11+Franchise!F12+Franchise!F19</f>
        <v>263362.5</v>
      </c>
    </row>
    <row r="5" customFormat="false" ht="15" hidden="false" customHeight="false" outlineLevel="0" collapsed="false">
      <c r="A5" s="3" t="s">
        <v>135</v>
      </c>
      <c r="B5" s="3" t="s">
        <v>136</v>
      </c>
      <c r="C5" s="3" t="s">
        <v>137</v>
      </c>
      <c r="D5" s="3" t="s">
        <v>138</v>
      </c>
    </row>
    <row r="6" customFormat="false" ht="15" hidden="false" customHeight="false" outlineLevel="0" collapsed="false">
      <c r="A6" s="2" t="s">
        <v>139</v>
      </c>
      <c r="B6" s="23" t="n">
        <v>0.05</v>
      </c>
      <c r="C6" s="17" t="n">
        <f aca="false">'P&amp;L'!F8-$B$3+$B$3*B6/Assumptions!$B$13</f>
        <v>1413662.5</v>
      </c>
      <c r="D6" s="17" t="n">
        <f aca="false">'P&amp;L'!F11-$B$3+$B$3*B6/Assumptions!$B$13</f>
        <v>1034492.5</v>
      </c>
    </row>
    <row r="7" customFormat="false" ht="15" hidden="false" customHeight="false" outlineLevel="0" collapsed="false">
      <c r="A7" s="2" t="s">
        <v>140</v>
      </c>
      <c r="B7" s="24" t="n">
        <v>0.03</v>
      </c>
      <c r="C7" s="17" t="n">
        <f aca="false">'P&amp;L'!F8-$B$3+$B$3*B7/Assumptions!$B$13</f>
        <v>1308317.5</v>
      </c>
      <c r="D7" s="17" t="n">
        <f aca="false">'P&amp;L'!F11-$B$3+$B$3*B7/Assumptions!$B$13</f>
        <v>929147.5</v>
      </c>
    </row>
    <row r="8" customFormat="false" ht="15" hidden="false" customHeight="false" outlineLevel="0" collapsed="false">
      <c r="A8" s="2" t="s">
        <v>141</v>
      </c>
      <c r="B8" s="24" t="n">
        <v>0.0075</v>
      </c>
      <c r="C8" s="17" t="n">
        <f aca="false">'P&amp;L'!F8-$B$3+$B$3*B8/Assumptions!$B$13</f>
        <v>1189804.375</v>
      </c>
      <c r="D8" s="17" t="n">
        <f aca="false">'P&amp;L'!F11-$B$3+$B$3*B8/Assumptions!$B$13</f>
        <v>810634.375</v>
      </c>
    </row>
    <row r="10" customFormat="false" ht="15" hidden="false" customHeight="false" outlineLevel="0" collapsed="false">
      <c r="A10" s="6" t="s">
        <v>142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2026-07-02T08:02:30Z</dcterms:created>
  <dc:creator>openpyxl</dc:creator>
  <dc:description/>
  <dc:language>en-US</dc:language>
  <cp:lastModifiedBy/>
  <dcterms:modified xsi:type="dcterms:W3CDTF">2026-07-02T08:02:30Z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