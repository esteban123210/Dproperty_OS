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6D9"/>
      </patternFill>
    </fill>
    <fill>
      <patternFill patternType="solid">
        <fgColor rgb="00EDEDED"/>
      </patternFill>
    </fill>
    <fill>
      <patternFill patternType="solid">
        <fgColor rgb="00D9E6EE"/>
      </patternFill>
    </fill>
    <fill>
      <patternFill patternType="solid">
        <fgColor rgb="002E6E8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0" fontId="4" fillId="0" borderId="0" pivotButton="0" quotePrefix="0" xfId="0"/>
    <xf numFmtId="165" fontId="0" fillId="3" borderId="1" pivotButton="0" quotePrefix="0" xfId="0"/>
    <xf numFmtId="165" fontId="2" fillId="4" borderId="1" pivotButton="0" quotePrefix="0" xfId="0"/>
    <xf numFmtId="3" fontId="0" fillId="3" borderId="1" pivotButton="0" quotePrefix="0" xfId="0"/>
    <xf numFmtId="2" fontId="0" fillId="3" borderId="1" pivotButton="0" quotePrefix="0" xfId="0"/>
    <xf numFmtId="164" fontId="2" fillId="4" borderId="1" pivotButton="0" quotePrefix="0" xfId="0"/>
    <xf numFmtId="0" fontId="2" fillId="5" borderId="0" applyAlignment="1" pivotButton="0" quotePrefix="0" xfId="0">
      <alignment horizontal="center"/>
    </xf>
    <xf numFmtId="0" fontId="5" fillId="6" borderId="0" pivotButton="0" quotePrefix="0" xfId="0"/>
    <xf numFmtId="0" fontId="0" fillId="6" borderId="0" pivotButton="0" quotePrefix="0" xfId="0"/>
    <xf numFmtId="3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DPROPERTY OS - FINANCIAL MODEL</t>
        </is>
      </c>
    </row>
    <row r="2">
      <c r="B2" t="inlineStr"/>
    </row>
    <row r="3">
      <c r="B3" t="inlineStr">
        <is>
          <t>Version: v0.7 (working)   Last built: 2026-07-05   Owner: Esteban</t>
        </is>
      </c>
    </row>
    <row r="4">
      <c r="B4" t="inlineStr">
        <is>
          <t>Basis: collected-GCI royalty on GROSS-INTO-COMPANY, 30k/40k staged launch fee, Dproperty Select fixed pct of sale price.</t>
        </is>
      </c>
    </row>
    <row r="5">
      <c r="B5" t="inlineStr"/>
    </row>
    <row r="6">
      <c r="B6" t="inlineStr">
        <is>
          <t>COMMISSION WATERFALL (local franchise sale)</t>
        </is>
      </c>
    </row>
    <row r="7">
      <c r="B7" t="inlineStr">
        <is>
          <t>5% commission charged -&gt; 50/50 with external advisors -&gt; 2.5% enters company.</t>
        </is>
      </c>
    </row>
    <row r="8">
      <c r="B8" t="inlineStr">
        <is>
          <t>Of what enters: 35% seller, 10% sales director, 55% franchise net.</t>
        </is>
      </c>
    </row>
    <row r="9">
      <c r="B9" t="inlineStr">
        <is>
          <t>Royalty (6%) + Network &amp; Brand Fund (1.5%) are charged on GROSS-INTO-COMPANY (the 2.5%),</t>
        </is>
      </c>
    </row>
    <row r="10">
      <c r="B10" t="inlineStr">
        <is>
          <t>NOT on franchise net - so a franchise cannot lower royalty by inflating agent pay.</t>
        </is>
      </c>
    </row>
    <row r="11">
      <c r="B11" t="inlineStr"/>
    </row>
    <row r="12">
      <c r="B12" s="2" t="inlineStr">
        <is>
          <t>HOW TO USE</t>
        </is>
      </c>
    </row>
    <row r="13">
      <c r="B13" t="inlineStr">
        <is>
          <t>1. Edit only the yellow cells on 'Assumptions' and the yellow cost rows on 'Model'.</t>
        </is>
      </c>
    </row>
    <row r="14">
      <c r="B14" t="inlineStr">
        <is>
          <t>2. Everything else on 'Model' is a live formula and recalculates when you open in Excel.</t>
        </is>
      </c>
    </row>
    <row r="15">
      <c r="B15" t="inlineStr">
        <is>
          <t>3. Blue rows = section headers. Grey rows = totals.</t>
        </is>
      </c>
    </row>
    <row r="16">
      <c r="B16" t="inlineStr"/>
    </row>
    <row r="17">
      <c r="B17" s="2" t="inlineStr">
        <is>
          <t>WHAT THIS MODEL IS / IS NOT</t>
        </is>
      </c>
    </row>
    <row r="18">
      <c r="B18" t="inlineStr">
        <is>
          <t>- A transparent, adjustable operating model for the conservative 5-year plan (5 branded / 20 white-label / 15 developer).</t>
        </is>
      </c>
    </row>
    <row r="19">
      <c r="B19" t="inlineStr">
        <is>
          <t>- NOT audited. Cost lines are planning estimates. Confirm with owners before pitch-final use.</t>
        </is>
      </c>
    </row>
    <row r="20">
      <c r="B20" t="inlineStr"/>
    </row>
    <row r="21">
      <c r="B21" t="inlineStr">
        <is>
          <t>KEY LEVERS (Assumptions sheet)</t>
        </is>
      </c>
    </row>
    <row r="22">
      <c r="B22" t="inlineStr">
        <is>
          <t>- local_comm_rate: set to 0.0075 to run the 0.75pct deferred-advisory sensitivity.</t>
        </is>
      </c>
    </row>
    <row r="23">
      <c r="B23" t="inlineStr">
        <is>
          <t>- external_advisor_share: 0.50 = 50/50 co-broke. Set 0 for deals with no external advisor.</t>
        </is>
      </c>
    </row>
    <row r="24">
      <c r="B24" t="inlineStr">
        <is>
          <t>- select_mix / local_mix: share of a franchise's volume that is Dproperty Select vs local.</t>
        </is>
      </c>
    </row>
    <row r="25">
      <c r="B25" t="inlineStr">
        <is>
          <t>- ramp row (Model row 12): how fast new franchises reach full productivity.</t>
        </is>
      </c>
    </row>
    <row r="26">
      <c r="B26" t="inlineStr"/>
    </row>
    <row r="27">
      <c r="B27" s="2" t="inlineStr">
        <is>
          <t>OPEN VALIDATION ITEMS</t>
        </is>
      </c>
    </row>
    <row r="28">
      <c r="B28" t="inlineStr">
        <is>
          <t>1. Owner-validate the OPEX/staffing rows (drives EBITDA).</t>
        </is>
      </c>
    </row>
    <row r="29">
      <c r="B29" t="inlineStr">
        <is>
          <t>2. Miguel salary amount (EUR 3,000/mo placeholder).</t>
        </is>
      </c>
    </row>
    <row r="30">
      <c r="B30" t="inlineStr">
        <is>
          <t>3. Sales mix 70/30, ramp curve, developer per project, external-advisor share.</t>
        </is>
      </c>
    </row>
    <row r="31">
      <c r="B31" t="inlineStr">
        <is>
          <t>4. Minimum royalty floor amount (750/mo placeholder).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52" customWidth="1" min="4" max="4"/>
  </cols>
  <sheetData>
    <row r="1">
      <c r="B1" s="3" t="inlineStr">
        <is>
          <t>ASSUMPTIONS - edit the yellow cells</t>
        </is>
      </c>
      <c r="C1" s="4" t="n"/>
      <c r="D1" s="4" t="n"/>
    </row>
    <row r="3">
      <c r="B3" t="inlineStr">
        <is>
          <t>Unit price (USD)</t>
        </is>
      </c>
      <c r="C3" s="5" t="n">
        <v>300000</v>
      </c>
      <c r="D3" s="6" t="inlineStr">
        <is>
          <t>Average unit price</t>
        </is>
      </c>
    </row>
    <row r="4">
      <c r="B4" t="inlineStr">
        <is>
          <t>Local commission rate</t>
        </is>
      </c>
      <c r="C4" s="7" t="n">
        <v>0.05</v>
      </c>
      <c r="D4" s="6" t="inlineStr">
        <is>
          <t>Set 0.0075 to test the 0.75pct case</t>
        </is>
      </c>
    </row>
    <row r="5">
      <c r="B5" t="inlineStr">
        <is>
          <t>Royalty rate</t>
        </is>
      </c>
      <c r="C5" s="7" t="n">
        <v>0.06</v>
      </c>
      <c r="D5" s="6" t="inlineStr">
        <is>
          <t>On gross-into-company</t>
        </is>
      </c>
    </row>
    <row r="6">
      <c r="B6" t="inlineStr">
        <is>
          <t>Network &amp; Brand Fund</t>
        </is>
      </c>
      <c r="C6" s="7" t="n">
        <v>0.015</v>
      </c>
      <c r="D6" s="6" t="inlineStr">
        <is>
          <t>On gross-into-company</t>
        </is>
      </c>
    </row>
    <row r="7">
      <c r="B7" t="inlineStr">
        <is>
          <t>Total local take</t>
        </is>
      </c>
      <c r="C7" s="8">
        <f>C5+C6</f>
        <v/>
      </c>
      <c r="D7" s="6" t="inlineStr">
        <is>
          <t>Royalty + Fund</t>
        </is>
      </c>
    </row>
    <row r="8">
      <c r="B8" t="inlineStr">
        <is>
          <t>Launch fee - founding</t>
        </is>
      </c>
      <c r="C8" s="5" t="n">
        <v>30000</v>
      </c>
      <c r="D8" s="6" t="inlineStr">
        <is>
          <t>First 5 franchises</t>
        </is>
      </c>
    </row>
    <row r="9">
      <c r="B9" t="inlineStr">
        <is>
          <t>Launch fee - mature</t>
        </is>
      </c>
      <c r="C9" s="5" t="n">
        <v>40000</v>
      </c>
      <c r="D9" s="6" t="inlineStr">
        <is>
          <t>After 5 successful franchises</t>
        </is>
      </c>
    </row>
    <row r="10">
      <c r="B10" t="inlineStr">
        <is>
          <t>OS fee / month</t>
        </is>
      </c>
      <c r="C10" s="5" t="n">
        <v>1000</v>
      </c>
      <c r="D10" s="6" t="inlineStr">
        <is>
          <t>Per franchise</t>
        </is>
      </c>
    </row>
    <row r="11">
      <c r="B11" t="inlineStr">
        <is>
          <t>Min royalty floor / month</t>
        </is>
      </c>
      <c r="C11" s="5" t="n">
        <v>750</v>
      </c>
      <c r="D11" s="6" t="inlineStr">
        <is>
          <t>From month 7 (placeholder)</t>
        </is>
      </c>
    </row>
    <row r="12">
      <c r="B12" t="inlineStr">
        <is>
          <t>Dproperty Select commission (model)</t>
        </is>
      </c>
      <c r="C12" s="7" t="n">
        <v>0.05</v>
      </c>
      <c r="D12" s="6" t="inlineStr">
        <is>
          <t>Model at 5pct; upside kept by HQ</t>
        </is>
      </c>
    </row>
    <row r="13">
      <c r="B13" t="inlineStr">
        <is>
          <t>Select payout - branded</t>
        </is>
      </c>
      <c r="C13" s="7" t="n">
        <v>0.025</v>
      </c>
      <c r="D13" s="6" t="inlineStr">
        <is>
          <t>pct of sale price to franchisee</t>
        </is>
      </c>
    </row>
    <row r="14">
      <c r="B14" t="inlineStr">
        <is>
          <t>Select payout - white-label</t>
        </is>
      </c>
      <c r="C14" s="7" t="n">
        <v>0.02</v>
      </c>
      <c r="D14" s="6" t="inlineStr">
        <is>
          <t>pct of sale price to partner</t>
        </is>
      </c>
    </row>
    <row r="15">
      <c r="B15" t="inlineStr">
        <is>
          <t>Units per franchise / year</t>
        </is>
      </c>
      <c r="C15" s="9" t="n">
        <v>50</v>
      </c>
      <c r="D15" s="6" t="inlineStr">
        <is>
          <t>Full-productivity assumption</t>
        </is>
      </c>
    </row>
    <row r="16">
      <c r="B16" t="inlineStr">
        <is>
          <t>Local sales mix</t>
        </is>
      </c>
      <c r="C16" s="7" t="n">
        <v>0.7</v>
      </c>
      <c r="D16" s="6" t="inlineStr">
        <is>
          <t>Share of units that are local</t>
        </is>
      </c>
    </row>
    <row r="17">
      <c r="B17" t="inlineStr">
        <is>
          <t>Dproperty Select mix</t>
        </is>
      </c>
      <c r="C17" s="7" t="n">
        <v>0.3</v>
      </c>
      <c r="D17" s="6" t="inlineStr">
        <is>
          <t>Share of units that are Select</t>
        </is>
      </c>
    </row>
    <row r="18">
      <c r="B18" t="inlineStr">
        <is>
          <t>White-label setup (avg)</t>
        </is>
      </c>
      <c r="C18" s="5" t="n">
        <v>12000</v>
      </c>
      <c r="D18" s="6" t="inlineStr">
        <is>
          <t>Blend of starter/growth</t>
        </is>
      </c>
    </row>
    <row r="19">
      <c r="B19" t="inlineStr">
        <is>
          <t>White-label monthly (avg)</t>
        </is>
      </c>
      <c r="C19" s="5" t="n">
        <v>1800</v>
      </c>
      <c r="D19" s="6" t="inlineStr">
        <is>
          <t>Blend of starter/growth</t>
        </is>
      </c>
    </row>
    <row r="20">
      <c r="B20" t="inlineStr">
        <is>
          <t>GHL resale margin / month</t>
        </is>
      </c>
      <c r="C20" s="5" t="n">
        <v>100</v>
      </c>
      <c r="D20" s="6" t="inlineStr">
        <is>
          <t>Per active account (placeholder)</t>
        </is>
      </c>
    </row>
    <row r="21">
      <c r="B21" t="inlineStr">
        <is>
          <t>Developer revenue / project</t>
        </is>
      </c>
      <c r="C21" s="5" t="n">
        <v>40000</v>
      </c>
      <c r="D21" s="6" t="inlineStr">
        <is>
          <t>Conservative blended</t>
        </is>
      </c>
    </row>
    <row r="22">
      <c r="B22" t="inlineStr">
        <is>
          <t>EUR to USD</t>
        </is>
      </c>
      <c r="C22" s="10" t="n">
        <v>1.08</v>
      </c>
      <c r="D22" s="6" t="inlineStr">
        <is>
          <t>FX for salaries</t>
        </is>
      </c>
    </row>
    <row r="23">
      <c r="B23" t="inlineStr">
        <is>
          <t>External advisor share</t>
        </is>
      </c>
      <c r="C23" s="7" t="n">
        <v>0.5</v>
      </c>
      <c r="D23" s="6" t="inlineStr">
        <is>
          <t>Co-broke split; company keeps the rest</t>
        </is>
      </c>
    </row>
    <row r="24">
      <c r="B24" t="inlineStr">
        <is>
          <t>Gross commission / unit (5pct)</t>
        </is>
      </c>
      <c r="C24" s="11">
        <f>C3*C4</f>
        <v/>
      </c>
      <c r="D24" s="6" t="inlineStr">
        <is>
          <t>Price x commission</t>
        </is>
      </c>
    </row>
    <row r="25">
      <c r="B25" t="inlineStr">
        <is>
          <t>Commission into company / unit</t>
        </is>
      </c>
      <c r="C25" s="11">
        <f>C24*(1-C23)</f>
        <v/>
      </c>
      <c r="D25" s="6" t="inlineStr">
        <is>
          <t>ROYALTY BASE (after co-broke)</t>
        </is>
      </c>
    </row>
    <row r="26">
      <c r="B26" t="inlineStr">
        <is>
          <t>Seller share (of company comm)</t>
        </is>
      </c>
      <c r="C26" s="7" t="n">
        <v>0.35</v>
      </c>
      <c r="D26" s="6" t="inlineStr">
        <is>
          <t>Franchise internal split</t>
        </is>
      </c>
    </row>
    <row r="27">
      <c r="B27" t="inlineStr">
        <is>
          <t>Sales director share</t>
        </is>
      </c>
      <c r="C27" s="7" t="n">
        <v>0.1</v>
      </c>
      <c r="D27" s="6" t="inlineStr">
        <is>
          <t>Franchise internal split</t>
        </is>
      </c>
    </row>
    <row r="28">
      <c r="B28" t="inlineStr">
        <is>
          <t>Franchise net share</t>
        </is>
      </c>
      <c r="C28" s="8">
        <f>1-C26-C27</f>
        <v/>
      </c>
      <c r="D28" s="6" t="inlineStr">
        <is>
          <t>Remaining after seller+director</t>
        </is>
      </c>
    </row>
    <row r="29">
      <c r="B29" t="inlineStr">
        <is>
          <t>Franchise net / unit</t>
        </is>
      </c>
      <c r="C29" s="11">
        <f>C25*C28</f>
        <v/>
      </c>
      <c r="D29" s="6" t="inlineStr">
        <is>
          <t>Franchise take-home per local unit</t>
        </is>
      </c>
    </row>
    <row r="30">
      <c r="B30" t="inlineStr">
        <is>
          <t>Select HQ retained - branded</t>
        </is>
      </c>
      <c r="C30" s="11">
        <f>C24-C3*C13</f>
        <v/>
      </c>
      <c r="D30" s="6" t="inlineStr">
        <is>
          <t>Commission minus branded payout</t>
        </is>
      </c>
    </row>
    <row r="31">
      <c r="B31" t="inlineStr">
        <is>
          <t>Select HQ retained - white-label</t>
        </is>
      </c>
      <c r="C31" s="11">
        <f>C24-C3*C14</f>
        <v/>
      </c>
      <c r="D31" s="6" t="inlineStr">
        <is>
          <t>Commission minus WL payout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3" t="inlineStr">
        <is>
          <t>DPROPERTY OS - FINANCIAL MODEL v0.7 (blue=headers, grey=totals, yellow=editable)</t>
        </is>
      </c>
      <c r="C1" s="4" t="n"/>
      <c r="D1" s="4" t="n"/>
      <c r="E1" s="4" t="n"/>
      <c r="F1" s="4" t="n"/>
      <c r="G1" s="4" t="n"/>
    </row>
    <row r="3">
      <c r="B3" s="2" t="inlineStr">
        <is>
          <t>Line</t>
        </is>
      </c>
      <c r="C3" s="12" t="inlineStr">
        <is>
          <t>Year 1</t>
        </is>
      </c>
      <c r="D3" s="12" t="inlineStr">
        <is>
          <t>Year 2</t>
        </is>
      </c>
      <c r="E3" s="12" t="inlineStr">
        <is>
          <t>Year 3</t>
        </is>
      </c>
      <c r="F3" s="12" t="inlineStr">
        <is>
          <t>Year 4</t>
        </is>
      </c>
      <c r="G3" s="12" t="inlineStr">
        <is>
          <t>Year 5</t>
        </is>
      </c>
    </row>
    <row r="4">
      <c r="B4" s="13" t="inlineStr">
        <is>
          <t>COUNTS</t>
        </is>
      </c>
      <c r="C4" s="14" t="n"/>
      <c r="D4" s="14" t="n"/>
      <c r="E4" s="14" t="n"/>
      <c r="F4" s="14" t="n"/>
      <c r="G4" s="14" t="n"/>
    </row>
    <row r="5">
      <c r="B5" t="inlineStr">
        <is>
          <t>Branded franchises (EOY)</t>
        </is>
      </c>
      <c r="C5" s="9" t="n">
        <v>0</v>
      </c>
      <c r="D5" s="9" t="n">
        <v>1</v>
      </c>
      <c r="E5" s="9" t="n">
        <v>2</v>
      </c>
      <c r="F5" s="9" t="n">
        <v>3</v>
      </c>
      <c r="G5" s="9" t="n">
        <v>5</v>
      </c>
    </row>
    <row r="6">
      <c r="B6" t="inlineStr">
        <is>
          <t>Branded - new this year</t>
        </is>
      </c>
      <c r="C6" s="15">
        <f>C5</f>
        <v/>
      </c>
      <c r="D6" s="15">
        <f>D5-C5</f>
        <v/>
      </c>
      <c r="E6" s="15">
        <f>E5-D5</f>
        <v/>
      </c>
      <c r="F6" s="15">
        <f>F5-E5</f>
        <v/>
      </c>
      <c r="G6" s="15">
        <f>G5-F5</f>
        <v/>
      </c>
    </row>
    <row r="7">
      <c r="B7" t="inlineStr">
        <is>
          <t>Branded - active (avg)</t>
        </is>
      </c>
      <c r="C7" s="16">
        <f>(0+C5)/2</f>
        <v/>
      </c>
      <c r="D7" s="16">
        <f>(C5+D5)/2</f>
        <v/>
      </c>
      <c r="E7" s="16">
        <f>(D5+E5)/2</f>
        <v/>
      </c>
      <c r="F7" s="16">
        <f>(E5+F5)/2</f>
        <v/>
      </c>
      <c r="G7" s="16">
        <f>(F5+G5)/2</f>
        <v/>
      </c>
    </row>
    <row r="8">
      <c r="B8" t="inlineStr">
        <is>
          <t>White-label (EOY)</t>
        </is>
      </c>
      <c r="C8" s="9" t="n">
        <v>2</v>
      </c>
      <c r="D8" s="9" t="n">
        <v>5</v>
      </c>
      <c r="E8" s="9" t="n">
        <v>10</v>
      </c>
      <c r="F8" s="9" t="n">
        <v>15</v>
      </c>
      <c r="G8" s="9" t="n">
        <v>20</v>
      </c>
    </row>
    <row r="9">
      <c r="B9" t="inlineStr">
        <is>
          <t>White-label - new this year</t>
        </is>
      </c>
      <c r="C9" s="15">
        <f>C8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</row>
    <row r="10">
      <c r="B10" t="inlineStr">
        <is>
          <t>White-label - active (avg)</t>
        </is>
      </c>
      <c r="C10" s="16">
        <f>(0+C8)/2</f>
        <v/>
      </c>
      <c r="D10" s="16">
        <f>(C8+D8)/2</f>
        <v/>
      </c>
      <c r="E10" s="16">
        <f>(D8+E8)/2</f>
        <v/>
      </c>
      <c r="F10" s="16">
        <f>(E8+F8)/2</f>
        <v/>
      </c>
      <c r="G10" s="16">
        <f>(F8+G8)/2</f>
        <v/>
      </c>
    </row>
    <row r="11">
      <c r="B11" t="inlineStr">
        <is>
          <t>Developer projects / year</t>
        </is>
      </c>
      <c r="C11" s="9" t="n">
        <v>1</v>
      </c>
      <c r="D11" s="9" t="n">
        <v>3</v>
      </c>
      <c r="E11" s="9" t="n">
        <v>6</v>
      </c>
      <c r="F11" s="9" t="n">
        <v>10</v>
      </c>
      <c r="G11" s="9" t="n">
        <v>15</v>
      </c>
    </row>
    <row r="12">
      <c r="B12" t="inlineStr">
        <is>
          <t>Ramp factor (0-1)</t>
        </is>
      </c>
      <c r="C12" s="10" t="n">
        <v>0.5</v>
      </c>
      <c r="D12" s="10" t="n">
        <v>0.6</v>
      </c>
      <c r="E12" s="10" t="n">
        <v>0.7</v>
      </c>
      <c r="F12" s="10" t="n">
        <v>0.75</v>
      </c>
      <c r="G12" s="10" t="n">
        <v>0.8</v>
      </c>
    </row>
    <row r="14">
      <c r="B14" s="13" t="inlineStr">
        <is>
          <t>REVENUE (USD)</t>
        </is>
      </c>
      <c r="C14" s="14" t="n"/>
      <c r="D14" s="14" t="n"/>
      <c r="E14" s="14" t="n"/>
      <c r="F14" s="14" t="n"/>
      <c r="G14" s="14" t="n"/>
    </row>
    <row r="15">
      <c r="B15" t="inlineStr">
        <is>
          <t>Franchise launch fees</t>
        </is>
      </c>
      <c r="C15" s="17">
        <f>C6*Assumptions!$C$8</f>
        <v/>
      </c>
      <c r="D15" s="17">
        <f>D6*Assumptions!$C$8</f>
        <v/>
      </c>
      <c r="E15" s="17">
        <f>E6*Assumptions!$C$8</f>
        <v/>
      </c>
      <c r="F15" s="17">
        <f>F6*Assumptions!$C$8</f>
        <v/>
      </c>
      <c r="G15" s="17">
        <f>G6*Assumptions!$C$8</f>
        <v/>
      </c>
    </row>
    <row r="16">
      <c r="B16" t="inlineStr">
        <is>
          <t>Franchise OS fees</t>
        </is>
      </c>
      <c r="C16" s="17">
        <f>C7*Assumptions!$C$10*12</f>
        <v/>
      </c>
      <c r="D16" s="17">
        <f>D7*Assumptions!$C$10*12</f>
        <v/>
      </c>
      <c r="E16" s="17">
        <f>E7*Assumptions!$C$10*12</f>
        <v/>
      </c>
      <c r="F16" s="17">
        <f>F7*Assumptions!$C$10*12</f>
        <v/>
      </c>
      <c r="G16" s="17">
        <f>G7*Assumptions!$C$10*12</f>
        <v/>
      </c>
    </row>
    <row r="17">
      <c r="B17" t="inlineStr">
        <is>
          <t>Local royalty + Fund (on gross-into-company)</t>
        </is>
      </c>
      <c r="C17" s="17">
        <f>C7*Assumptions!$C$15*Assumptions!$C$16*Assumptions!$C$25*Assumptions!$C$7*C12</f>
        <v/>
      </c>
      <c r="D17" s="17">
        <f>D7*Assumptions!$C$15*Assumptions!$C$16*Assumptions!$C$25*Assumptions!$C$7*D12</f>
        <v/>
      </c>
      <c r="E17" s="17">
        <f>E7*Assumptions!$C$15*Assumptions!$C$16*Assumptions!$C$25*Assumptions!$C$7*E12</f>
        <v/>
      </c>
      <c r="F17" s="17">
        <f>F7*Assumptions!$C$15*Assumptions!$C$16*Assumptions!$C$25*Assumptions!$C$7*F12</f>
        <v/>
      </c>
      <c r="G17" s="17">
        <f>G7*Assumptions!$C$15*Assumptions!$C$16*Assumptions!$C$25*Assumptions!$C$7*G12</f>
        <v/>
      </c>
    </row>
    <row r="18">
      <c r="B18" t="inlineStr">
        <is>
          <t>Dproperty Select - HQ retained</t>
        </is>
      </c>
      <c r="C18" s="17">
        <f>C7*Assumptions!$C$15*Assumptions!$C$17*Assumptions!$C$30*C12</f>
        <v/>
      </c>
      <c r="D18" s="17">
        <f>D7*Assumptions!$C$15*Assumptions!$C$17*Assumptions!$C$30*D12</f>
        <v/>
      </c>
      <c r="E18" s="17">
        <f>E7*Assumptions!$C$15*Assumptions!$C$17*Assumptions!$C$30*E12</f>
        <v/>
      </c>
      <c r="F18" s="17">
        <f>F7*Assumptions!$C$15*Assumptions!$C$17*Assumptions!$C$30*F12</f>
        <v/>
      </c>
      <c r="G18" s="17">
        <f>G7*Assumptions!$C$15*Assumptions!$C$17*Assumptions!$C$30*G12</f>
        <v/>
      </c>
    </row>
    <row r="19">
      <c r="B19" t="inlineStr">
        <is>
          <t>White-label setup fees</t>
        </is>
      </c>
      <c r="C19" s="17">
        <f>C9*Assumptions!$C$18</f>
        <v/>
      </c>
      <c r="D19" s="17">
        <f>D9*Assumptions!$C$18</f>
        <v/>
      </c>
      <c r="E19" s="17">
        <f>E9*Assumptions!$C$18</f>
        <v/>
      </c>
      <c r="F19" s="17">
        <f>F9*Assumptions!$C$18</f>
        <v/>
      </c>
      <c r="G19" s="17">
        <f>G9*Assumptions!$C$18</f>
        <v/>
      </c>
    </row>
    <row r="20">
      <c r="B20" t="inlineStr">
        <is>
          <t>White-label recurring</t>
        </is>
      </c>
      <c r="C20" s="17">
        <f>C10*Assumptions!$C$19*12</f>
        <v/>
      </c>
      <c r="D20" s="17">
        <f>D10*Assumptions!$C$19*12</f>
        <v/>
      </c>
      <c r="E20" s="17">
        <f>E10*Assumptions!$C$19*12</f>
        <v/>
      </c>
      <c r="F20" s="17">
        <f>F10*Assumptions!$C$19*12</f>
        <v/>
      </c>
      <c r="G20" s="17">
        <f>G10*Assumptions!$C$19*12</f>
        <v/>
      </c>
    </row>
    <row r="21">
      <c r="B21" t="inlineStr">
        <is>
          <t>GoHighLevel resale margin</t>
        </is>
      </c>
      <c r="C21" s="17">
        <f>(C7+C10)*Assumptions!$C$20*12</f>
        <v/>
      </c>
      <c r="D21" s="17">
        <f>(D7+D10)*Assumptions!$C$20*12</f>
        <v/>
      </c>
      <c r="E21" s="17">
        <f>(E7+E10)*Assumptions!$C$20*12</f>
        <v/>
      </c>
      <c r="F21" s="17">
        <f>(F7+F10)*Assumptions!$C$20*12</f>
        <v/>
      </c>
      <c r="G21" s="17">
        <f>(G7+G10)*Assumptions!$C$20*12</f>
        <v/>
      </c>
    </row>
    <row r="22">
      <c r="B22" t="inlineStr">
        <is>
          <t>Developer Sales OS</t>
        </is>
      </c>
      <c r="C22" s="17">
        <f>C11*Assumptions!$C$21</f>
        <v/>
      </c>
      <c r="D22" s="17">
        <f>D11*Assumptions!$C$21</f>
        <v/>
      </c>
      <c r="E22" s="17">
        <f>E11*Assumptions!$C$21</f>
        <v/>
      </c>
      <c r="F22" s="17">
        <f>F11*Assumptions!$C$21</f>
        <v/>
      </c>
      <c r="G22" s="17">
        <f>G11*Assumptions!$C$21</f>
        <v/>
      </c>
    </row>
    <row r="23">
      <c r="B23" s="2" t="inlineStr">
        <is>
          <t>TOTAL REVENUE</t>
        </is>
      </c>
      <c r="C23" s="11">
        <f>SUM(C15:C22)</f>
        <v/>
      </c>
      <c r="D23" s="11">
        <f>SUM(D15:D22)</f>
        <v/>
      </c>
      <c r="E23" s="11">
        <f>SUM(E15:E22)</f>
        <v/>
      </c>
      <c r="F23" s="11">
        <f>SUM(F15:F22)</f>
        <v/>
      </c>
      <c r="G23" s="11">
        <f>SUM(G15:G22)</f>
        <v/>
      </c>
    </row>
    <row r="25">
      <c r="B25" s="13" t="inlineStr">
        <is>
          <t>OPERATING COSTS (USD) - editable planning estimates</t>
        </is>
      </c>
      <c r="C25" s="14" t="n"/>
      <c r="D25" s="14" t="n"/>
      <c r="E25" s="14" t="n"/>
      <c r="F25" s="14" t="n"/>
      <c r="G25" s="14" t="n"/>
    </row>
    <row r="26">
      <c r="B26" t="inlineStr">
        <is>
          <t>Salaries (founders + team)</t>
        </is>
      </c>
      <c r="C26" s="5" t="n">
        <v>150000</v>
      </c>
      <c r="D26" s="5" t="n">
        <v>220000</v>
      </c>
      <c r="E26" s="5" t="n">
        <v>300000</v>
      </c>
      <c r="F26" s="5" t="n">
        <v>400000</v>
      </c>
      <c r="G26" s="5" t="n">
        <v>500000</v>
      </c>
    </row>
    <row r="27">
      <c r="B27" t="inlineStr">
        <is>
          <t>Product / technology</t>
        </is>
      </c>
      <c r="C27" s="5" t="n">
        <v>80000</v>
      </c>
      <c r="D27" s="5" t="n">
        <v>70000</v>
      </c>
      <c r="E27" s="5" t="n">
        <v>80000</v>
      </c>
      <c r="F27" s="5" t="n">
        <v>90000</v>
      </c>
      <c r="G27" s="5" t="n">
        <v>100000</v>
      </c>
    </row>
    <row r="28">
      <c r="B28" t="inlineStr">
        <is>
          <t>Legal / compliance</t>
        </is>
      </c>
      <c r="C28" s="5" t="n">
        <v>60000</v>
      </c>
      <c r="D28" s="5" t="n">
        <v>40000</v>
      </c>
      <c r="E28" s="5" t="n">
        <v>40000</v>
      </c>
      <c r="F28" s="5" t="n">
        <v>40000</v>
      </c>
      <c r="G28" s="5" t="n">
        <v>40000</v>
      </c>
    </row>
    <row r="29">
      <c r="B29" t="inlineStr">
        <is>
          <t>Training / content</t>
        </is>
      </c>
      <c r="C29" s="5" t="n">
        <v>40000</v>
      </c>
      <c r="D29" s="5" t="n">
        <v>30000</v>
      </c>
      <c r="E29" s="5" t="n">
        <v>30000</v>
      </c>
      <c r="F29" s="5" t="n">
        <v>35000</v>
      </c>
      <c r="G29" s="5" t="n">
        <v>40000</v>
      </c>
    </row>
    <row r="30">
      <c r="B30" t="inlineStr">
        <is>
          <t>Customer success / implementation</t>
        </is>
      </c>
      <c r="C30" s="5" t="n">
        <v>30000</v>
      </c>
      <c r="D30" s="5" t="n">
        <v>50000</v>
      </c>
      <c r="E30" s="5" t="n">
        <v>70000</v>
      </c>
      <c r="F30" s="5" t="n">
        <v>90000</v>
      </c>
      <c r="G30" s="5" t="n">
        <v>110000</v>
      </c>
    </row>
    <row r="31">
      <c r="B31" t="inlineStr">
        <is>
          <t>Sales / BD / travel</t>
        </is>
      </c>
      <c r="C31" s="5" t="n">
        <v>40000</v>
      </c>
      <c r="D31" s="5" t="n">
        <v>50000</v>
      </c>
      <c r="E31" s="5" t="n">
        <v>60000</v>
      </c>
      <c r="F31" s="5" t="n">
        <v>70000</v>
      </c>
      <c r="G31" s="5" t="n">
        <v>80000</v>
      </c>
    </row>
    <row r="32">
      <c r="B32" t="inlineStr">
        <is>
          <t>Hosting / tools / admin</t>
        </is>
      </c>
      <c r="C32" s="5" t="n">
        <v>30000</v>
      </c>
      <c r="D32" s="5" t="n">
        <v>35000</v>
      </c>
      <c r="E32" s="5" t="n">
        <v>45000</v>
      </c>
      <c r="F32" s="5" t="n">
        <v>55000</v>
      </c>
      <c r="G32" s="5" t="n">
        <v>65000</v>
      </c>
    </row>
    <row r="33">
      <c r="B33" t="inlineStr">
        <is>
          <t>Contingency</t>
        </is>
      </c>
      <c r="C33" s="5" t="n">
        <v>15000</v>
      </c>
      <c r="D33" s="5" t="n">
        <v>15000</v>
      </c>
      <c r="E33" s="5" t="n">
        <v>20000</v>
      </c>
      <c r="F33" s="5" t="n">
        <v>25000</v>
      </c>
      <c r="G33" s="5" t="n">
        <v>30000</v>
      </c>
    </row>
    <row r="34">
      <c r="B34" s="2" t="inlineStr">
        <is>
          <t>TOTAL OPEX</t>
        </is>
      </c>
      <c r="C34" s="11">
        <f>SUM(C26:C33)</f>
        <v/>
      </c>
      <c r="D34" s="11">
        <f>SUM(D26:D33)</f>
        <v/>
      </c>
      <c r="E34" s="11">
        <f>SUM(E26:E33)</f>
        <v/>
      </c>
      <c r="F34" s="11">
        <f>SUM(F26:F33)</f>
        <v/>
      </c>
      <c r="G34" s="11">
        <f>SUM(G26:G33)</f>
        <v/>
      </c>
    </row>
    <row r="36">
      <c r="B36" s="2" t="inlineStr">
        <is>
          <t>EBITDA</t>
        </is>
      </c>
      <c r="C36" s="11">
        <f>C23-C34</f>
        <v/>
      </c>
      <c r="D36" s="11">
        <f>D23-D34</f>
        <v/>
      </c>
      <c r="E36" s="11">
        <f>E23-E34</f>
        <v/>
      </c>
      <c r="F36" s="11">
        <f>F23-F34</f>
        <v/>
      </c>
      <c r="G36" s="11">
        <f>G23-G34</f>
        <v/>
      </c>
    </row>
    <row r="37">
      <c r="B37" s="2" t="inlineStr">
        <is>
          <t>EBITDA margin</t>
        </is>
      </c>
      <c r="C37" s="8">
        <f>IFERROR(C36/C23,0)</f>
        <v/>
      </c>
      <c r="D37" s="8">
        <f>IFERROR(D36/D23,0)</f>
        <v/>
      </c>
      <c r="E37" s="8">
        <f>IFERROR(E36/E23,0)</f>
        <v/>
      </c>
      <c r="F37" s="8">
        <f>IFERROR(F36/F23,0)</f>
        <v/>
      </c>
      <c r="G37" s="8">
        <f>IFERROR(G36/G23,0)</f>
        <v/>
      </c>
    </row>
    <row r="39">
      <c r="B39" s="13" t="inlineStr">
        <is>
          <t>LOCAL DEAL WATERFALL (reference, per unit)</t>
        </is>
      </c>
      <c r="C39" s="14" t="n"/>
      <c r="D39" s="14" t="n"/>
      <c r="E39" s="14" t="n"/>
      <c r="F39" s="14" t="n"/>
      <c r="G39" s="14" t="n"/>
    </row>
    <row r="40">
      <c r="B40" t="inlineStr">
        <is>
          <t>Gross commission (5%)</t>
        </is>
      </c>
      <c r="C40" s="18">
        <f>Assumptions!$C$24</f>
        <v/>
      </c>
    </row>
    <row r="41">
      <c r="B41" t="inlineStr">
        <is>
          <t xml:space="preserve">  Less external advisors (50%)</t>
        </is>
      </c>
      <c r="C41" s="18">
        <f>-Assumptions!$C$24*Assumptions!$C$23</f>
        <v/>
      </c>
    </row>
    <row r="42">
      <c r="B42" t="inlineStr">
        <is>
          <t>Into company (royalty base)</t>
        </is>
      </c>
      <c r="C42" s="19">
        <f>Assumptions!$C$25</f>
        <v/>
      </c>
    </row>
    <row r="43">
      <c r="B43" t="inlineStr">
        <is>
          <t xml:space="preserve">  Seller (35%)</t>
        </is>
      </c>
      <c r="C43" s="18">
        <f>-Assumptions!$C$25*Assumptions!$C$26</f>
        <v/>
      </c>
    </row>
    <row r="44">
      <c r="B44" t="inlineStr">
        <is>
          <t xml:space="preserve">  Sales director (10%)</t>
        </is>
      </c>
      <c r="C44" s="18">
        <f>-Assumptions!$C$25*Assumptions!$C$27</f>
        <v/>
      </c>
    </row>
    <row r="45">
      <c r="B45" t="inlineStr">
        <is>
          <t>Franchise net</t>
        </is>
      </c>
      <c r="C45" s="19">
        <f>Assumptions!$C$29</f>
        <v/>
      </c>
    </row>
    <row r="46">
      <c r="B46" t="inlineStr">
        <is>
          <t>HQ royalty+fund per unit (7.5% of into-company)</t>
        </is>
      </c>
      <c r="C46" s="19">
        <f>Assumptions!$C$25*Assumptions!$C$7</f>
        <v/>
      </c>
    </row>
    <row r="48">
      <c r="B48" s="6" t="inlineStr">
        <is>
          <t>Note: royalty is charged on gross-into-company (2.5%), not franchise net - so agent-comp choices do not change HQ royalty.</t>
        </is>
      </c>
    </row>
    <row r="49">
      <c r="B49" s="6" t="inlineStr">
        <is>
          <t>Founder salary ref: Esteban EUR 4,000/mo -&gt; 5,500 (Tranche 2); Miguel EUR 3,000/mo placeholder. Inside 'Salaries'.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2026-07-05T06:22:18Z</dcterms:created>
  <dcterms:modified xsi:type="dcterms:W3CDTF">2026-07-05T06:22:18Z</dcterms:modified>
</cp:coreProperties>
</file>